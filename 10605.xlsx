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ry/work/JAM/fitpack_legacy/database/proton_qT/expdata/"/>
    </mc:Choice>
  </mc:AlternateContent>
  <xr:revisionPtr revIDLastSave="0" documentId="13_ncr:1_{8F4D227D-A739-2D4F-A3F7-3C31F2801EAC}" xr6:coauthVersionLast="47" xr6:coauthVersionMax="47" xr10:uidLastSave="{00000000-0000-0000-0000-000000000000}"/>
  <bookViews>
    <workbookView xWindow="760" yWindow="1580" windowWidth="28040" windowHeight="16460" xr2:uid="{487361BB-D140-9C49-9E52-83089BC7F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2" i="1"/>
</calcChain>
</file>

<file path=xl/sharedStrings.xml><?xml version="1.0" encoding="utf-8"?>
<sst xmlns="http://schemas.openxmlformats.org/spreadsheetml/2006/main" count="464" uniqueCount="26">
  <si>
    <t>pT</t>
  </si>
  <si>
    <t>value</t>
  </si>
  <si>
    <t>stat_u</t>
  </si>
  <si>
    <t>norm_c</t>
  </si>
  <si>
    <t>E</t>
  </si>
  <si>
    <t>obs</t>
  </si>
  <si>
    <t>Ed3sigma/dp3</t>
  </si>
  <si>
    <t>target</t>
  </si>
  <si>
    <t>Cu</t>
  </si>
  <si>
    <t>units</t>
  </si>
  <si>
    <t>pb/GeV**2</t>
  </si>
  <si>
    <t>col</t>
  </si>
  <si>
    <t>E605</t>
  </si>
  <si>
    <t>reaction</t>
  </si>
  <si>
    <t>pp</t>
  </si>
  <si>
    <t>xF</t>
  </si>
  <si>
    <t>Qmin</t>
  </si>
  <si>
    <t>Qmax</t>
  </si>
  <si>
    <t>pTmin</t>
  </si>
  <si>
    <t>pTmax</t>
  </si>
  <si>
    <t>sys_u</t>
  </si>
  <si>
    <t>beam</t>
  </si>
  <si>
    <t>p</t>
  </si>
  <si>
    <t>RS</t>
  </si>
  <si>
    <t>xFmin</t>
  </si>
  <si>
    <t>xFmax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</si>
</sst>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B3A1-02DB-DB48-BB5F-44F34CA17139}">
  <dimension ref="A1:T75"/>
  <sheetViews>
    <sheetView tabSelected="1" workbookViewId="0"/>
  </sheetViews>
  <sheetFormatPr baseColWidth="10" defaultRowHeight="16" x14ac:dyDescent="0.2"/>
  <cols>
    <col min="1" max="9" width="10.83203125" style="1"/>
    <col min="10" max="11" width="16.5" style="1" customWidth="1"/>
    <col min="12" max="12" width="10.5" style="1" customWidth="1"/>
    <col min="13" max="13" width="16.5" style="1" customWidth="1"/>
    <col min="14" max="16384" width="10.83203125" style="1"/>
  </cols>
  <sheetData>
    <row r="1" spans="1:20" x14ac:dyDescent="0.2">
      <c r="A1" s="1" t="s">
        <v>4</v>
      </c>
      <c r="B1" s="1" t="s">
        <v>16</v>
      </c>
      <c r="C1" s="1" t="s">
        <v>17</v>
      </c>
      <c r="D1" s="1" t="s">
        <v>24</v>
      </c>
      <c r="E1" s="1" t="s">
        <v>25</v>
      </c>
      <c r="F1" s="1" t="s">
        <v>15</v>
      </c>
      <c r="G1" s="1" t="s">
        <v>18</v>
      </c>
      <c r="H1" s="1" t="s">
        <v>19</v>
      </c>
      <c r="I1" s="1" t="s">
        <v>0</v>
      </c>
      <c r="J1" s="1" t="s">
        <v>5</v>
      </c>
      <c r="K1" s="1" t="s">
        <v>21</v>
      </c>
      <c r="L1" s="1" t="s">
        <v>7</v>
      </c>
      <c r="M1" s="1" t="s">
        <v>9</v>
      </c>
      <c r="N1" s="1" t="s">
        <v>1</v>
      </c>
      <c r="O1" s="1" t="s">
        <v>2</v>
      </c>
      <c r="P1" s="1" t="s">
        <v>20</v>
      </c>
      <c r="Q1" s="1" t="s">
        <v>3</v>
      </c>
      <c r="R1" s="1" t="s">
        <v>11</v>
      </c>
      <c r="S1" s="1" t="s">
        <v>13</v>
      </c>
      <c r="T1" s="1" t="s">
        <v>23</v>
      </c>
    </row>
    <row r="2" spans="1:20" ht="17" x14ac:dyDescent="0.25">
      <c r="A2" s="2">
        <v>800</v>
      </c>
      <c r="B2" s="1">
        <v>7</v>
      </c>
      <c r="C2" s="1">
        <v>8</v>
      </c>
      <c r="D2" s="1">
        <v>-0.1</v>
      </c>
      <c r="E2" s="1">
        <v>0.2</v>
      </c>
      <c r="F2" s="1">
        <v>0.1</v>
      </c>
      <c r="G2" s="1">
        <v>0</v>
      </c>
      <c r="H2" s="1">
        <v>0.2</v>
      </c>
      <c r="I2" s="1">
        <v>0.1</v>
      </c>
      <c r="J2" s="1" t="s">
        <v>6</v>
      </c>
      <c r="K2" s="1" t="s">
        <v>22</v>
      </c>
      <c r="L2" s="1" t="s">
        <v>8</v>
      </c>
      <c r="M2" s="1" t="s">
        <v>10</v>
      </c>
      <c r="N2" s="3">
        <v>0.78500000000000003</v>
      </c>
      <c r="O2" s="3">
        <v>0.115</v>
      </c>
      <c r="P2" s="3">
        <f>0.1*N2</f>
        <v>7.8500000000000014E-2</v>
      </c>
      <c r="Q2" s="3">
        <f>0.15*N2</f>
        <v>0.11774999999999999</v>
      </c>
      <c r="R2" s="3" t="s">
        <v>12</v>
      </c>
      <c r="S2" s="3" t="s">
        <v>14</v>
      </c>
      <c r="T2" s="1">
        <f>SQRT(2*0.938^2+2*0.938*SQRT(0.938^2+A2^2))</f>
        <v>38.762878113173372</v>
      </c>
    </row>
    <row r="3" spans="1:20" ht="17" x14ac:dyDescent="0.25">
      <c r="A3" s="2">
        <v>800</v>
      </c>
      <c r="B3" s="1">
        <v>7</v>
      </c>
      <c r="C3" s="1">
        <v>8</v>
      </c>
      <c r="D3" s="1">
        <v>-0.1</v>
      </c>
      <c r="E3" s="1">
        <v>0.2</v>
      </c>
      <c r="F3" s="1">
        <v>0.1</v>
      </c>
      <c r="G3" s="1">
        <v>0.2</v>
      </c>
      <c r="H3" s="1">
        <v>0.4</v>
      </c>
      <c r="I3" s="1">
        <v>0.3</v>
      </c>
      <c r="J3" s="1" t="s">
        <v>6</v>
      </c>
      <c r="K3" s="1" t="s">
        <v>22</v>
      </c>
      <c r="L3" s="1" t="s">
        <v>8</v>
      </c>
      <c r="M3" s="1" t="s">
        <v>10</v>
      </c>
      <c r="N3" s="3">
        <v>0.97299999999999998</v>
      </c>
      <c r="O3" s="3">
        <v>8.6000000000000007E-2</v>
      </c>
      <c r="P3" s="3">
        <f t="shared" ref="P3:P66" si="0">0.1*N3</f>
        <v>9.7299999999999998E-2</v>
      </c>
      <c r="Q3" s="3">
        <f t="shared" ref="Q3:Q66" si="1">0.15*N3</f>
        <v>0.14595</v>
      </c>
      <c r="R3" s="3" t="s">
        <v>12</v>
      </c>
      <c r="S3" s="3" t="s">
        <v>14</v>
      </c>
      <c r="T3" s="1">
        <f t="shared" ref="T3:T66" si="2">SQRT(2*0.938^2+2*0.938*SQRT(0.938^2+A3^2))</f>
        <v>38.762878113173372</v>
      </c>
    </row>
    <row r="4" spans="1:20" ht="17" x14ac:dyDescent="0.25">
      <c r="A4" s="2">
        <v>800</v>
      </c>
      <c r="B4" s="1">
        <v>7</v>
      </c>
      <c r="C4" s="1">
        <v>8</v>
      </c>
      <c r="D4" s="1">
        <v>-0.1</v>
      </c>
      <c r="E4" s="1">
        <v>0.2</v>
      </c>
      <c r="F4" s="1">
        <v>0.1</v>
      </c>
      <c r="G4" s="1">
        <v>0.4</v>
      </c>
      <c r="H4" s="1">
        <v>0.6</v>
      </c>
      <c r="I4" s="1">
        <v>0.5</v>
      </c>
      <c r="J4" s="1" t="s">
        <v>6</v>
      </c>
      <c r="K4" s="1" t="s">
        <v>22</v>
      </c>
      <c r="L4" s="1" t="s">
        <v>8</v>
      </c>
      <c r="M4" s="1" t="s">
        <v>10</v>
      </c>
      <c r="N4" s="3">
        <v>0.82500000000000007</v>
      </c>
      <c r="O4" s="3">
        <v>6.2E-2</v>
      </c>
      <c r="P4" s="3">
        <f t="shared" si="0"/>
        <v>8.2500000000000018E-2</v>
      </c>
      <c r="Q4" s="3">
        <f t="shared" si="1"/>
        <v>0.12375</v>
      </c>
      <c r="R4" s="3" t="s">
        <v>12</v>
      </c>
      <c r="S4" s="3" t="s">
        <v>14</v>
      </c>
      <c r="T4" s="1">
        <f t="shared" si="2"/>
        <v>38.762878113173372</v>
      </c>
    </row>
    <row r="5" spans="1:20" ht="17" x14ac:dyDescent="0.25">
      <c r="A5" s="2">
        <v>800</v>
      </c>
      <c r="B5" s="1">
        <v>7</v>
      </c>
      <c r="C5" s="1">
        <v>8</v>
      </c>
      <c r="D5" s="1">
        <v>-0.1</v>
      </c>
      <c r="E5" s="1">
        <v>0.2</v>
      </c>
      <c r="F5" s="1">
        <v>0.1</v>
      </c>
      <c r="G5" s="1">
        <v>0.6</v>
      </c>
      <c r="H5" s="1">
        <v>0.8</v>
      </c>
      <c r="I5" s="1">
        <v>0.7</v>
      </c>
      <c r="J5" s="1" t="s">
        <v>6</v>
      </c>
      <c r="K5" s="1" t="s">
        <v>22</v>
      </c>
      <c r="L5" s="1" t="s">
        <v>8</v>
      </c>
      <c r="M5" s="1" t="s">
        <v>10</v>
      </c>
      <c r="N5" s="3">
        <v>0.80500000000000016</v>
      </c>
      <c r="O5" s="3">
        <v>5.7000000000000002E-2</v>
      </c>
      <c r="P5" s="3">
        <f t="shared" si="0"/>
        <v>8.0500000000000016E-2</v>
      </c>
      <c r="Q5" s="3">
        <f t="shared" si="1"/>
        <v>0.12075000000000002</v>
      </c>
      <c r="R5" s="3" t="s">
        <v>12</v>
      </c>
      <c r="S5" s="3" t="s">
        <v>14</v>
      </c>
      <c r="T5" s="1">
        <f t="shared" si="2"/>
        <v>38.762878113173372</v>
      </c>
    </row>
    <row r="6" spans="1:20" ht="17" x14ac:dyDescent="0.25">
      <c r="A6" s="2">
        <v>800</v>
      </c>
      <c r="B6" s="1">
        <v>7</v>
      </c>
      <c r="C6" s="1">
        <v>8</v>
      </c>
      <c r="D6" s="1">
        <v>-0.1</v>
      </c>
      <c r="E6" s="1">
        <v>0.2</v>
      </c>
      <c r="F6" s="1">
        <v>0.1</v>
      </c>
      <c r="G6" s="1">
        <v>0.8</v>
      </c>
      <c r="H6" s="1">
        <v>1</v>
      </c>
      <c r="I6" s="1">
        <v>0.9</v>
      </c>
      <c r="J6" s="1" t="s">
        <v>6</v>
      </c>
      <c r="K6" s="1" t="s">
        <v>22</v>
      </c>
      <c r="L6" s="1" t="s">
        <v>8</v>
      </c>
      <c r="M6" s="1" t="s">
        <v>10</v>
      </c>
      <c r="N6" s="3">
        <v>0.56900000000000006</v>
      </c>
      <c r="O6" s="3">
        <v>4.2000000000000003E-2</v>
      </c>
      <c r="P6" s="3">
        <f t="shared" si="0"/>
        <v>5.6900000000000006E-2</v>
      </c>
      <c r="Q6" s="3">
        <f t="shared" si="1"/>
        <v>8.5350000000000009E-2</v>
      </c>
      <c r="R6" s="3" t="s">
        <v>12</v>
      </c>
      <c r="S6" s="3" t="s">
        <v>14</v>
      </c>
      <c r="T6" s="1">
        <f t="shared" si="2"/>
        <v>38.762878113173372</v>
      </c>
    </row>
    <row r="7" spans="1:20" ht="17" x14ac:dyDescent="0.25">
      <c r="A7" s="2">
        <v>800</v>
      </c>
      <c r="B7" s="1">
        <v>7</v>
      </c>
      <c r="C7" s="1">
        <v>8</v>
      </c>
      <c r="D7" s="1">
        <v>-0.1</v>
      </c>
      <c r="E7" s="1">
        <v>0.2</v>
      </c>
      <c r="F7" s="1">
        <v>0.1</v>
      </c>
      <c r="G7" s="1">
        <v>1</v>
      </c>
      <c r="H7" s="1">
        <v>1.2</v>
      </c>
      <c r="I7" s="1">
        <v>1.1000000000000001</v>
      </c>
      <c r="J7" s="1" t="s">
        <v>6</v>
      </c>
      <c r="K7" s="1" t="s">
        <v>22</v>
      </c>
      <c r="L7" s="1" t="s">
        <v>8</v>
      </c>
      <c r="M7" s="1" t="s">
        <v>10</v>
      </c>
      <c r="N7" s="3">
        <v>0.53700000000000003</v>
      </c>
      <c r="O7" s="3">
        <v>4.5000000000000005E-2</v>
      </c>
      <c r="P7" s="3">
        <f t="shared" si="0"/>
        <v>5.3700000000000005E-2</v>
      </c>
      <c r="Q7" s="3">
        <f t="shared" si="1"/>
        <v>8.0549999999999997E-2</v>
      </c>
      <c r="R7" s="3" t="s">
        <v>12</v>
      </c>
      <c r="S7" s="3" t="s">
        <v>14</v>
      </c>
      <c r="T7" s="1">
        <f t="shared" si="2"/>
        <v>38.762878113173372</v>
      </c>
    </row>
    <row r="8" spans="1:20" ht="17" x14ac:dyDescent="0.25">
      <c r="A8" s="2">
        <v>800</v>
      </c>
      <c r="B8" s="1">
        <v>7</v>
      </c>
      <c r="C8" s="1">
        <v>8</v>
      </c>
      <c r="D8" s="1">
        <v>-0.1</v>
      </c>
      <c r="E8" s="1">
        <v>0.2</v>
      </c>
      <c r="F8" s="1">
        <v>0.1</v>
      </c>
      <c r="G8" s="1">
        <v>1.2</v>
      </c>
      <c r="H8" s="1">
        <v>1.4</v>
      </c>
      <c r="I8" s="1">
        <v>1.3</v>
      </c>
      <c r="J8" s="1" t="s">
        <v>6</v>
      </c>
      <c r="K8" s="1" t="s">
        <v>22</v>
      </c>
      <c r="L8" s="1" t="s">
        <v>8</v>
      </c>
      <c r="M8" s="1" t="s">
        <v>10</v>
      </c>
      <c r="N8" s="3">
        <v>0.38800000000000007</v>
      </c>
      <c r="O8" s="3">
        <v>3.9E-2</v>
      </c>
      <c r="P8" s="3">
        <f t="shared" si="0"/>
        <v>3.8800000000000008E-2</v>
      </c>
      <c r="Q8" s="3">
        <f t="shared" si="1"/>
        <v>5.8200000000000009E-2</v>
      </c>
      <c r="R8" s="3" t="s">
        <v>12</v>
      </c>
      <c r="S8" s="3" t="s">
        <v>14</v>
      </c>
      <c r="T8" s="1">
        <f t="shared" si="2"/>
        <v>38.762878113173372</v>
      </c>
    </row>
    <row r="9" spans="1:20" ht="17" x14ac:dyDescent="0.25">
      <c r="A9" s="2">
        <v>800</v>
      </c>
      <c r="B9" s="1">
        <v>7</v>
      </c>
      <c r="C9" s="1">
        <v>8</v>
      </c>
      <c r="D9" s="1">
        <v>-0.1</v>
      </c>
      <c r="E9" s="1">
        <v>0.2</v>
      </c>
      <c r="F9" s="1">
        <v>0.1</v>
      </c>
      <c r="G9" s="1">
        <v>1.4</v>
      </c>
      <c r="H9" s="1">
        <v>1.6</v>
      </c>
      <c r="I9" s="1">
        <v>1.5</v>
      </c>
      <c r="J9" s="1" t="s">
        <v>6</v>
      </c>
      <c r="K9" s="1" t="s">
        <v>22</v>
      </c>
      <c r="L9" s="1" t="s">
        <v>8</v>
      </c>
      <c r="M9" s="1" t="s">
        <v>10</v>
      </c>
      <c r="N9" s="3">
        <v>0.312</v>
      </c>
      <c r="O9" s="3">
        <v>3.7999999999999999E-2</v>
      </c>
      <c r="P9" s="3">
        <f t="shared" si="0"/>
        <v>3.1200000000000002E-2</v>
      </c>
      <c r="Q9" s="3">
        <f t="shared" si="1"/>
        <v>4.6800000000000001E-2</v>
      </c>
      <c r="R9" s="3" t="s">
        <v>12</v>
      </c>
      <c r="S9" s="3" t="s">
        <v>14</v>
      </c>
      <c r="T9" s="1">
        <f t="shared" si="2"/>
        <v>38.762878113173372</v>
      </c>
    </row>
    <row r="10" spans="1:20" ht="17" x14ac:dyDescent="0.25">
      <c r="A10" s="2">
        <v>800</v>
      </c>
      <c r="B10" s="1">
        <v>7</v>
      </c>
      <c r="C10" s="1">
        <v>8</v>
      </c>
      <c r="D10" s="1">
        <v>-0.1</v>
      </c>
      <c r="E10" s="1">
        <v>0.2</v>
      </c>
      <c r="F10" s="1">
        <v>0.1</v>
      </c>
      <c r="G10" s="1">
        <v>1.6</v>
      </c>
      <c r="H10" s="1">
        <v>1.8</v>
      </c>
      <c r="I10" s="1">
        <v>1.7</v>
      </c>
      <c r="J10" s="1" t="s">
        <v>6</v>
      </c>
      <c r="K10" s="1" t="s">
        <v>22</v>
      </c>
      <c r="L10" s="1" t="s">
        <v>8</v>
      </c>
      <c r="M10" s="1" t="s">
        <v>10</v>
      </c>
      <c r="N10" s="3">
        <v>0.22900000000000004</v>
      </c>
      <c r="O10" s="3">
        <v>3.7000000000000005E-2</v>
      </c>
      <c r="P10" s="3">
        <f t="shared" si="0"/>
        <v>2.2900000000000004E-2</v>
      </c>
      <c r="Q10" s="3">
        <f t="shared" si="1"/>
        <v>3.4350000000000006E-2</v>
      </c>
      <c r="R10" s="3" t="s">
        <v>12</v>
      </c>
      <c r="S10" s="3" t="s">
        <v>14</v>
      </c>
      <c r="T10" s="1">
        <f t="shared" si="2"/>
        <v>38.762878113173372</v>
      </c>
    </row>
    <row r="11" spans="1:20" ht="17" x14ac:dyDescent="0.25">
      <c r="A11" s="2">
        <v>800</v>
      </c>
      <c r="B11" s="1">
        <v>7</v>
      </c>
      <c r="C11" s="1">
        <v>8</v>
      </c>
      <c r="D11" s="1">
        <v>-0.1</v>
      </c>
      <c r="E11" s="1">
        <v>0.2</v>
      </c>
      <c r="F11" s="1">
        <v>0.1</v>
      </c>
      <c r="G11" s="1">
        <v>1.8</v>
      </c>
      <c r="H11" s="1">
        <v>2</v>
      </c>
      <c r="I11" s="1">
        <v>1.9</v>
      </c>
      <c r="J11" s="1" t="s">
        <v>6</v>
      </c>
      <c r="K11" s="1" t="s">
        <v>22</v>
      </c>
      <c r="L11" s="1" t="s">
        <v>8</v>
      </c>
      <c r="M11" s="1" t="s">
        <v>10</v>
      </c>
      <c r="N11" s="3">
        <v>0.13600000000000001</v>
      </c>
      <c r="O11" s="3">
        <v>3.1E-2</v>
      </c>
      <c r="P11" s="3">
        <f t="shared" si="0"/>
        <v>1.3600000000000001E-2</v>
      </c>
      <c r="Q11" s="3">
        <f t="shared" si="1"/>
        <v>2.0400000000000001E-2</v>
      </c>
      <c r="R11" s="3" t="s">
        <v>12</v>
      </c>
      <c r="S11" s="3" t="s">
        <v>14</v>
      </c>
      <c r="T11" s="1">
        <f t="shared" si="2"/>
        <v>38.762878113173372</v>
      </c>
    </row>
    <row r="12" spans="1:20" ht="17" x14ac:dyDescent="0.25">
      <c r="A12" s="2">
        <v>800</v>
      </c>
      <c r="B12" s="1">
        <v>7</v>
      </c>
      <c r="C12" s="1">
        <v>8</v>
      </c>
      <c r="D12" s="1">
        <v>-0.1</v>
      </c>
      <c r="E12" s="1">
        <v>0.2</v>
      </c>
      <c r="F12" s="1">
        <v>0.1</v>
      </c>
      <c r="G12" s="1">
        <v>2</v>
      </c>
      <c r="H12" s="1">
        <v>2.2000000000000002</v>
      </c>
      <c r="I12" s="1">
        <v>2.1</v>
      </c>
      <c r="J12" s="1" t="s">
        <v>6</v>
      </c>
      <c r="K12" s="1" t="s">
        <v>22</v>
      </c>
      <c r="L12" s="1" t="s">
        <v>8</v>
      </c>
      <c r="M12" s="1" t="s">
        <v>10</v>
      </c>
      <c r="N12" s="3">
        <v>0.13700000000000001</v>
      </c>
      <c r="O12" s="3">
        <v>4.3000000000000003E-2</v>
      </c>
      <c r="P12" s="3">
        <f t="shared" si="0"/>
        <v>1.3700000000000002E-2</v>
      </c>
      <c r="Q12" s="3">
        <f t="shared" si="1"/>
        <v>2.0550000000000002E-2</v>
      </c>
      <c r="R12" s="3" t="s">
        <v>12</v>
      </c>
      <c r="S12" s="3" t="s">
        <v>14</v>
      </c>
      <c r="T12" s="1">
        <f t="shared" si="2"/>
        <v>38.762878113173372</v>
      </c>
    </row>
    <row r="13" spans="1:20" ht="17" x14ac:dyDescent="0.25">
      <c r="A13" s="2">
        <v>800</v>
      </c>
      <c r="B13" s="1">
        <v>8</v>
      </c>
      <c r="C13" s="1">
        <v>9</v>
      </c>
      <c r="D13" s="1">
        <v>-0.1</v>
      </c>
      <c r="E13" s="1">
        <v>0.2</v>
      </c>
      <c r="F13" s="1">
        <v>0.1</v>
      </c>
      <c r="G13" s="1">
        <v>0</v>
      </c>
      <c r="H13" s="1">
        <v>0.2</v>
      </c>
      <c r="I13" s="1">
        <v>0.1</v>
      </c>
      <c r="J13" s="1" t="s">
        <v>6</v>
      </c>
      <c r="K13" s="1" t="s">
        <v>22</v>
      </c>
      <c r="L13" s="1" t="s">
        <v>8</v>
      </c>
      <c r="M13" s="1" t="s">
        <v>10</v>
      </c>
      <c r="N13" s="3">
        <v>0.33300000000000002</v>
      </c>
      <c r="O13" s="3">
        <v>2.5000000000000001E-2</v>
      </c>
      <c r="P13" s="3">
        <f t="shared" si="0"/>
        <v>3.3300000000000003E-2</v>
      </c>
      <c r="Q13" s="3">
        <f t="shared" si="1"/>
        <v>4.9950000000000001E-2</v>
      </c>
      <c r="R13" s="3" t="s">
        <v>12</v>
      </c>
      <c r="S13" s="3" t="s">
        <v>14</v>
      </c>
      <c r="T13" s="1">
        <f t="shared" si="2"/>
        <v>38.762878113173372</v>
      </c>
    </row>
    <row r="14" spans="1:20" ht="17" x14ac:dyDescent="0.25">
      <c r="A14" s="2">
        <v>800</v>
      </c>
      <c r="B14" s="1">
        <v>8</v>
      </c>
      <c r="C14" s="1">
        <v>9</v>
      </c>
      <c r="D14" s="1">
        <v>-0.1</v>
      </c>
      <c r="E14" s="1">
        <v>0.2</v>
      </c>
      <c r="F14" s="1">
        <v>0.1</v>
      </c>
      <c r="G14" s="1">
        <v>0.2</v>
      </c>
      <c r="H14" s="1">
        <v>0.4</v>
      </c>
      <c r="I14" s="1">
        <v>0.3</v>
      </c>
      <c r="J14" s="1" t="s">
        <v>6</v>
      </c>
      <c r="K14" s="1" t="s">
        <v>22</v>
      </c>
      <c r="L14" s="1" t="s">
        <v>8</v>
      </c>
      <c r="M14" s="1" t="s">
        <v>10</v>
      </c>
      <c r="N14" s="3">
        <v>0.439</v>
      </c>
      <c r="O14" s="3">
        <v>0.02</v>
      </c>
      <c r="P14" s="3">
        <f t="shared" si="0"/>
        <v>4.3900000000000002E-2</v>
      </c>
      <c r="Q14" s="3">
        <f t="shared" si="1"/>
        <v>6.5849999999999992E-2</v>
      </c>
      <c r="R14" s="3" t="s">
        <v>12</v>
      </c>
      <c r="S14" s="3" t="s">
        <v>14</v>
      </c>
      <c r="T14" s="1">
        <f t="shared" si="2"/>
        <v>38.762878113173372</v>
      </c>
    </row>
    <row r="15" spans="1:20" ht="17" x14ac:dyDescent="0.25">
      <c r="A15" s="2">
        <v>800</v>
      </c>
      <c r="B15" s="1">
        <v>8</v>
      </c>
      <c r="C15" s="1">
        <v>9</v>
      </c>
      <c r="D15" s="1">
        <v>-0.1</v>
      </c>
      <c r="E15" s="1">
        <v>0.2</v>
      </c>
      <c r="F15" s="1">
        <v>0.1</v>
      </c>
      <c r="G15" s="1">
        <v>0.4</v>
      </c>
      <c r="H15" s="1">
        <v>0.6</v>
      </c>
      <c r="I15" s="1">
        <v>0.5</v>
      </c>
      <c r="J15" s="1" t="s">
        <v>6</v>
      </c>
      <c r="K15" s="1" t="s">
        <v>22</v>
      </c>
      <c r="L15" s="1" t="s">
        <v>8</v>
      </c>
      <c r="M15" s="1" t="s">
        <v>10</v>
      </c>
      <c r="N15" s="3">
        <v>0.36799999999999999</v>
      </c>
      <c r="O15" s="3">
        <v>1.4E-2</v>
      </c>
      <c r="P15" s="3">
        <f t="shared" si="0"/>
        <v>3.6799999999999999E-2</v>
      </c>
      <c r="Q15" s="3">
        <f t="shared" si="1"/>
        <v>5.5199999999999999E-2</v>
      </c>
      <c r="R15" s="3" t="s">
        <v>12</v>
      </c>
      <c r="S15" s="3" t="s">
        <v>14</v>
      </c>
      <c r="T15" s="1">
        <f t="shared" si="2"/>
        <v>38.762878113173372</v>
      </c>
    </row>
    <row r="16" spans="1:20" ht="17" x14ac:dyDescent="0.25">
      <c r="A16" s="2">
        <v>800</v>
      </c>
      <c r="B16" s="1">
        <v>8</v>
      </c>
      <c r="C16" s="1">
        <v>9</v>
      </c>
      <c r="D16" s="1">
        <v>-0.1</v>
      </c>
      <c r="E16" s="1">
        <v>0.2</v>
      </c>
      <c r="F16" s="1">
        <v>0.1</v>
      </c>
      <c r="G16" s="1">
        <v>0.6</v>
      </c>
      <c r="H16" s="1">
        <v>0.8</v>
      </c>
      <c r="I16" s="1">
        <v>0.7</v>
      </c>
      <c r="J16" s="1" t="s">
        <v>6</v>
      </c>
      <c r="K16" s="1" t="s">
        <v>22</v>
      </c>
      <c r="L16" s="1" t="s">
        <v>8</v>
      </c>
      <c r="M16" s="1" t="s">
        <v>10</v>
      </c>
      <c r="N16" s="3">
        <v>0.37</v>
      </c>
      <c r="O16" s="3">
        <v>1.4E-2</v>
      </c>
      <c r="P16" s="3">
        <f t="shared" si="0"/>
        <v>3.6999999999999998E-2</v>
      </c>
      <c r="Q16" s="3">
        <f t="shared" si="1"/>
        <v>5.5500000000000001E-2</v>
      </c>
      <c r="R16" s="3" t="s">
        <v>12</v>
      </c>
      <c r="S16" s="3" t="s">
        <v>14</v>
      </c>
      <c r="T16" s="1">
        <f t="shared" si="2"/>
        <v>38.762878113173372</v>
      </c>
    </row>
    <row r="17" spans="1:20" ht="17" x14ac:dyDescent="0.25">
      <c r="A17" s="2">
        <v>800</v>
      </c>
      <c r="B17" s="1">
        <v>8</v>
      </c>
      <c r="C17" s="1">
        <v>9</v>
      </c>
      <c r="D17" s="1">
        <v>-0.1</v>
      </c>
      <c r="E17" s="1">
        <v>0.2</v>
      </c>
      <c r="F17" s="1">
        <v>0.1</v>
      </c>
      <c r="G17" s="1">
        <v>0.8</v>
      </c>
      <c r="H17" s="1">
        <v>1</v>
      </c>
      <c r="I17" s="1">
        <v>0.9</v>
      </c>
      <c r="J17" s="1" t="s">
        <v>6</v>
      </c>
      <c r="K17" s="1" t="s">
        <v>22</v>
      </c>
      <c r="L17" s="1" t="s">
        <v>8</v>
      </c>
      <c r="M17" s="1" t="s">
        <v>10</v>
      </c>
      <c r="N17" s="3">
        <v>0.25900000000000001</v>
      </c>
      <c r="O17" s="3">
        <v>0.01</v>
      </c>
      <c r="P17" s="3">
        <f t="shared" si="0"/>
        <v>2.5900000000000003E-2</v>
      </c>
      <c r="Q17" s="3">
        <f t="shared" si="1"/>
        <v>3.8850000000000003E-2</v>
      </c>
      <c r="R17" s="3" t="s">
        <v>12</v>
      </c>
      <c r="S17" s="3" t="s">
        <v>14</v>
      </c>
      <c r="T17" s="1">
        <f t="shared" si="2"/>
        <v>38.762878113173372</v>
      </c>
    </row>
    <row r="18" spans="1:20" ht="17" x14ac:dyDescent="0.25">
      <c r="A18" s="2">
        <v>800</v>
      </c>
      <c r="B18" s="1">
        <v>8</v>
      </c>
      <c r="C18" s="1">
        <v>9</v>
      </c>
      <c r="D18" s="1">
        <v>-0.1</v>
      </c>
      <c r="E18" s="1">
        <v>0.2</v>
      </c>
      <c r="F18" s="1">
        <v>0.1</v>
      </c>
      <c r="G18" s="1">
        <v>1</v>
      </c>
      <c r="H18" s="1">
        <v>1.2</v>
      </c>
      <c r="I18" s="1">
        <v>1.1000000000000001</v>
      </c>
      <c r="J18" s="1" t="s">
        <v>6</v>
      </c>
      <c r="K18" s="1" t="s">
        <v>22</v>
      </c>
      <c r="L18" s="1" t="s">
        <v>8</v>
      </c>
      <c r="M18" s="1" t="s">
        <v>10</v>
      </c>
      <c r="N18" s="3">
        <v>0.224</v>
      </c>
      <c r="O18" s="3">
        <v>9.0000000000000011E-3</v>
      </c>
      <c r="P18" s="3">
        <f t="shared" si="0"/>
        <v>2.2400000000000003E-2</v>
      </c>
      <c r="Q18" s="3">
        <f t="shared" si="1"/>
        <v>3.3599999999999998E-2</v>
      </c>
      <c r="R18" s="3" t="s">
        <v>12</v>
      </c>
      <c r="S18" s="3" t="s">
        <v>14</v>
      </c>
      <c r="T18" s="1">
        <f t="shared" si="2"/>
        <v>38.762878113173372</v>
      </c>
    </row>
    <row r="19" spans="1:20" ht="17" x14ac:dyDescent="0.25">
      <c r="A19" s="2">
        <v>800</v>
      </c>
      <c r="B19" s="1">
        <v>8</v>
      </c>
      <c r="C19" s="1">
        <v>9</v>
      </c>
      <c r="D19" s="1">
        <v>-0.1</v>
      </c>
      <c r="E19" s="1">
        <v>0.2</v>
      </c>
      <c r="F19" s="1">
        <v>0.1</v>
      </c>
      <c r="G19" s="1">
        <v>1.2</v>
      </c>
      <c r="H19" s="1">
        <v>1.4</v>
      </c>
      <c r="I19" s="1">
        <v>1.3</v>
      </c>
      <c r="J19" s="1" t="s">
        <v>6</v>
      </c>
      <c r="K19" s="1" t="s">
        <v>22</v>
      </c>
      <c r="L19" s="1" t="s">
        <v>8</v>
      </c>
      <c r="M19" s="1" t="s">
        <v>10</v>
      </c>
      <c r="N19" s="3">
        <v>0.18000000000000002</v>
      </c>
      <c r="O19" s="3">
        <v>9.0000000000000011E-3</v>
      </c>
      <c r="P19" s="3">
        <f t="shared" si="0"/>
        <v>1.8000000000000002E-2</v>
      </c>
      <c r="Q19" s="3">
        <f t="shared" si="1"/>
        <v>2.7000000000000003E-2</v>
      </c>
      <c r="R19" s="3" t="s">
        <v>12</v>
      </c>
      <c r="S19" s="3" t="s">
        <v>14</v>
      </c>
      <c r="T19" s="1">
        <f t="shared" si="2"/>
        <v>38.762878113173372</v>
      </c>
    </row>
    <row r="20" spans="1:20" ht="17" x14ac:dyDescent="0.25">
      <c r="A20" s="2">
        <v>800</v>
      </c>
      <c r="B20" s="1">
        <v>8</v>
      </c>
      <c r="C20" s="1">
        <v>9</v>
      </c>
      <c r="D20" s="1">
        <v>-0.1</v>
      </c>
      <c r="E20" s="1">
        <v>0.2</v>
      </c>
      <c r="F20" s="1">
        <v>0.1</v>
      </c>
      <c r="G20" s="1">
        <v>1.4</v>
      </c>
      <c r="H20" s="1">
        <v>1.6</v>
      </c>
      <c r="I20" s="1">
        <v>1.5</v>
      </c>
      <c r="J20" s="1" t="s">
        <v>6</v>
      </c>
      <c r="K20" s="1" t="s">
        <v>22</v>
      </c>
      <c r="L20" s="1" t="s">
        <v>8</v>
      </c>
      <c r="M20" s="1" t="s">
        <v>10</v>
      </c>
      <c r="N20" s="3">
        <v>0.13100000000000001</v>
      </c>
      <c r="O20" s="3">
        <v>8.0000000000000002E-3</v>
      </c>
      <c r="P20" s="3">
        <f t="shared" si="0"/>
        <v>1.3100000000000001E-2</v>
      </c>
      <c r="Q20" s="3">
        <f t="shared" si="1"/>
        <v>1.9650000000000001E-2</v>
      </c>
      <c r="R20" s="3" t="s">
        <v>12</v>
      </c>
      <c r="S20" s="3" t="s">
        <v>14</v>
      </c>
      <c r="T20" s="1">
        <f t="shared" si="2"/>
        <v>38.762878113173372</v>
      </c>
    </row>
    <row r="21" spans="1:20" ht="17" x14ac:dyDescent="0.25">
      <c r="A21" s="2">
        <v>800</v>
      </c>
      <c r="B21" s="1">
        <v>8</v>
      </c>
      <c r="C21" s="1">
        <v>9</v>
      </c>
      <c r="D21" s="1">
        <v>-0.1</v>
      </c>
      <c r="E21" s="1">
        <v>0.2</v>
      </c>
      <c r="F21" s="1">
        <v>0.1</v>
      </c>
      <c r="G21" s="1">
        <v>1.6</v>
      </c>
      <c r="H21" s="1">
        <v>1.8</v>
      </c>
      <c r="I21" s="1">
        <v>1.7</v>
      </c>
      <c r="J21" s="1" t="s">
        <v>6</v>
      </c>
      <c r="K21" s="1" t="s">
        <v>22</v>
      </c>
      <c r="L21" s="1" t="s">
        <v>8</v>
      </c>
      <c r="M21" s="1" t="s">
        <v>10</v>
      </c>
      <c r="N21" s="3">
        <v>8.7500000000000008E-2</v>
      </c>
      <c r="O21" s="3">
        <v>6.8000000000000005E-3</v>
      </c>
      <c r="P21" s="3">
        <f t="shared" si="0"/>
        <v>8.7500000000000008E-3</v>
      </c>
      <c r="Q21" s="3">
        <f t="shared" si="1"/>
        <v>1.3125000000000001E-2</v>
      </c>
      <c r="R21" s="3" t="s">
        <v>12</v>
      </c>
      <c r="S21" s="3" t="s">
        <v>14</v>
      </c>
      <c r="T21" s="1">
        <f t="shared" si="2"/>
        <v>38.762878113173372</v>
      </c>
    </row>
    <row r="22" spans="1:20" ht="17" x14ac:dyDescent="0.25">
      <c r="A22" s="2">
        <v>800</v>
      </c>
      <c r="B22" s="1">
        <v>8</v>
      </c>
      <c r="C22" s="1">
        <v>9</v>
      </c>
      <c r="D22" s="1">
        <v>-0.1</v>
      </c>
      <c r="E22" s="1">
        <v>0.2</v>
      </c>
      <c r="F22" s="1">
        <v>0.1</v>
      </c>
      <c r="G22" s="1">
        <v>1.8</v>
      </c>
      <c r="H22" s="1">
        <v>2</v>
      </c>
      <c r="I22" s="1">
        <v>1.9</v>
      </c>
      <c r="J22" s="1" t="s">
        <v>6</v>
      </c>
      <c r="K22" s="1" t="s">
        <v>22</v>
      </c>
      <c r="L22" s="1" t="s">
        <v>8</v>
      </c>
      <c r="M22" s="1" t="s">
        <v>10</v>
      </c>
      <c r="N22" s="3">
        <v>7.1300000000000002E-2</v>
      </c>
      <c r="O22" s="3">
        <v>7.0000000000000001E-3</v>
      </c>
      <c r="P22" s="3">
        <f t="shared" si="0"/>
        <v>7.1300000000000009E-3</v>
      </c>
      <c r="Q22" s="3">
        <f t="shared" si="1"/>
        <v>1.0695E-2</v>
      </c>
      <c r="R22" s="3" t="s">
        <v>12</v>
      </c>
      <c r="S22" s="3" t="s">
        <v>14</v>
      </c>
      <c r="T22" s="1">
        <f t="shared" si="2"/>
        <v>38.762878113173372</v>
      </c>
    </row>
    <row r="23" spans="1:20" ht="17" x14ac:dyDescent="0.25">
      <c r="A23" s="2">
        <v>800</v>
      </c>
      <c r="B23" s="1">
        <v>8</v>
      </c>
      <c r="C23" s="1">
        <v>9</v>
      </c>
      <c r="D23" s="1">
        <v>-0.1</v>
      </c>
      <c r="E23" s="1">
        <v>0.2</v>
      </c>
      <c r="F23" s="1">
        <v>0.1</v>
      </c>
      <c r="G23" s="1">
        <v>2</v>
      </c>
      <c r="H23" s="1">
        <v>2.2000000000000002</v>
      </c>
      <c r="I23" s="1">
        <v>2.1</v>
      </c>
      <c r="J23" s="1" t="s">
        <v>6</v>
      </c>
      <c r="K23" s="1" t="s">
        <v>22</v>
      </c>
      <c r="L23" s="1" t="s">
        <v>8</v>
      </c>
      <c r="M23" s="1" t="s">
        <v>10</v>
      </c>
      <c r="N23" s="3">
        <v>4.82E-2</v>
      </c>
      <c r="O23" s="3">
        <v>6.3E-3</v>
      </c>
      <c r="P23" s="3">
        <f t="shared" si="0"/>
        <v>4.8200000000000005E-3</v>
      </c>
      <c r="Q23" s="3">
        <f t="shared" si="1"/>
        <v>7.2299999999999994E-3</v>
      </c>
      <c r="R23" s="3" t="s">
        <v>12</v>
      </c>
      <c r="S23" s="3" t="s">
        <v>14</v>
      </c>
      <c r="T23" s="1">
        <f t="shared" si="2"/>
        <v>38.762878113173372</v>
      </c>
    </row>
    <row r="24" spans="1:20" ht="17" x14ac:dyDescent="0.25">
      <c r="A24" s="2">
        <v>800</v>
      </c>
      <c r="B24" s="1">
        <v>8</v>
      </c>
      <c r="C24" s="1">
        <v>9</v>
      </c>
      <c r="D24" s="1">
        <v>-0.1</v>
      </c>
      <c r="E24" s="1">
        <v>0.2</v>
      </c>
      <c r="F24" s="1">
        <v>0.1</v>
      </c>
      <c r="G24" s="1">
        <v>2.2000000000000002</v>
      </c>
      <c r="H24" s="1">
        <v>2.4</v>
      </c>
      <c r="I24" s="1">
        <v>2.2999999999999998</v>
      </c>
      <c r="J24" s="1" t="s">
        <v>6</v>
      </c>
      <c r="K24" s="1" t="s">
        <v>22</v>
      </c>
      <c r="L24" s="1" t="s">
        <v>8</v>
      </c>
      <c r="M24" s="1" t="s">
        <v>10</v>
      </c>
      <c r="N24" s="3">
        <v>2.7200000000000002E-2</v>
      </c>
      <c r="O24" s="3">
        <v>5.4000000000000003E-3</v>
      </c>
      <c r="P24" s="3">
        <f t="shared" si="0"/>
        <v>2.7200000000000002E-3</v>
      </c>
      <c r="Q24" s="3">
        <f t="shared" si="1"/>
        <v>4.0800000000000003E-3</v>
      </c>
      <c r="R24" s="3" t="s">
        <v>12</v>
      </c>
      <c r="S24" s="3" t="s">
        <v>14</v>
      </c>
      <c r="T24" s="1">
        <f t="shared" si="2"/>
        <v>38.762878113173372</v>
      </c>
    </row>
    <row r="25" spans="1:20" ht="17" x14ac:dyDescent="0.25">
      <c r="A25" s="2">
        <v>800</v>
      </c>
      <c r="B25" s="1">
        <v>8</v>
      </c>
      <c r="C25" s="1">
        <v>9</v>
      </c>
      <c r="D25" s="1">
        <v>-0.1</v>
      </c>
      <c r="E25" s="1">
        <v>0.2</v>
      </c>
      <c r="F25" s="1">
        <v>0.1</v>
      </c>
      <c r="G25" s="1">
        <v>2.4</v>
      </c>
      <c r="H25" s="1">
        <v>2.6</v>
      </c>
      <c r="I25" s="1">
        <v>2.5</v>
      </c>
      <c r="J25" s="1" t="s">
        <v>6</v>
      </c>
      <c r="K25" s="1" t="s">
        <v>22</v>
      </c>
      <c r="L25" s="1" t="s">
        <v>8</v>
      </c>
      <c r="M25" s="1" t="s">
        <v>10</v>
      </c>
      <c r="N25" s="3">
        <v>2.1700000000000001E-2</v>
      </c>
      <c r="O25" s="3">
        <v>5.1999999999999998E-3</v>
      </c>
      <c r="P25" s="3">
        <f t="shared" si="0"/>
        <v>2.1700000000000001E-3</v>
      </c>
      <c r="Q25" s="3">
        <f t="shared" si="1"/>
        <v>3.2550000000000001E-3</v>
      </c>
      <c r="R25" s="3" t="s">
        <v>12</v>
      </c>
      <c r="S25" s="3" t="s">
        <v>14</v>
      </c>
      <c r="T25" s="1">
        <f t="shared" si="2"/>
        <v>38.762878113173372</v>
      </c>
    </row>
    <row r="26" spans="1:20" ht="17" x14ac:dyDescent="0.25">
      <c r="A26" s="2">
        <v>800</v>
      </c>
      <c r="B26" s="1">
        <v>8</v>
      </c>
      <c r="C26" s="1">
        <v>9</v>
      </c>
      <c r="D26" s="1">
        <v>-0.1</v>
      </c>
      <c r="E26" s="1">
        <v>0.2</v>
      </c>
      <c r="F26" s="1">
        <v>0.1</v>
      </c>
      <c r="G26" s="1">
        <v>2.6</v>
      </c>
      <c r="H26" s="1">
        <v>2.8</v>
      </c>
      <c r="I26" s="1">
        <v>2.7</v>
      </c>
      <c r="J26" s="1" t="s">
        <v>6</v>
      </c>
      <c r="K26" s="1" t="s">
        <v>22</v>
      </c>
      <c r="L26" s="1" t="s">
        <v>8</v>
      </c>
      <c r="M26" s="1" t="s">
        <v>10</v>
      </c>
      <c r="N26" s="3">
        <v>1.8400000000000003E-2</v>
      </c>
      <c r="O26" s="3">
        <v>5.7000000000000002E-3</v>
      </c>
      <c r="P26" s="3">
        <f t="shared" si="0"/>
        <v>1.8400000000000005E-3</v>
      </c>
      <c r="Q26" s="3">
        <f t="shared" si="1"/>
        <v>2.7600000000000003E-3</v>
      </c>
      <c r="R26" s="3" t="s">
        <v>12</v>
      </c>
      <c r="S26" s="3" t="s">
        <v>14</v>
      </c>
      <c r="T26" s="1">
        <f t="shared" si="2"/>
        <v>38.762878113173372</v>
      </c>
    </row>
    <row r="27" spans="1:20" ht="17" x14ac:dyDescent="0.25">
      <c r="A27" s="2">
        <v>800</v>
      </c>
      <c r="B27" s="1">
        <v>10.5</v>
      </c>
      <c r="C27" s="1">
        <v>11.5</v>
      </c>
      <c r="D27" s="1">
        <v>-0.1</v>
      </c>
      <c r="E27" s="1">
        <v>0.2</v>
      </c>
      <c r="F27" s="1">
        <v>0.1</v>
      </c>
      <c r="G27" s="1">
        <v>0</v>
      </c>
      <c r="H27" s="1">
        <v>0.2</v>
      </c>
      <c r="I27" s="1">
        <v>0.1</v>
      </c>
      <c r="J27" s="1" t="s">
        <v>6</v>
      </c>
      <c r="K27" s="1" t="s">
        <v>22</v>
      </c>
      <c r="L27" s="1" t="s">
        <v>8</v>
      </c>
      <c r="M27" s="1" t="s">
        <v>10</v>
      </c>
      <c r="N27" s="3">
        <v>7.010000000000001E-2</v>
      </c>
      <c r="O27" s="3">
        <v>8.3999999999999995E-3</v>
      </c>
      <c r="P27" s="3">
        <f t="shared" si="0"/>
        <v>7.0100000000000015E-3</v>
      </c>
      <c r="Q27" s="3">
        <f t="shared" si="1"/>
        <v>1.0515000000000002E-2</v>
      </c>
      <c r="R27" s="3" t="s">
        <v>12</v>
      </c>
      <c r="S27" s="3" t="s">
        <v>14</v>
      </c>
      <c r="T27" s="1">
        <f t="shared" si="2"/>
        <v>38.762878113173372</v>
      </c>
    </row>
    <row r="28" spans="1:20" ht="17" x14ac:dyDescent="0.25">
      <c r="A28" s="2">
        <v>800</v>
      </c>
      <c r="B28" s="1">
        <v>10.5</v>
      </c>
      <c r="C28" s="1">
        <v>11.5</v>
      </c>
      <c r="D28" s="1">
        <v>-0.1</v>
      </c>
      <c r="E28" s="1">
        <v>0.2</v>
      </c>
      <c r="F28" s="1">
        <v>0.1</v>
      </c>
      <c r="G28" s="1">
        <v>0.2</v>
      </c>
      <c r="H28" s="1">
        <v>0.4</v>
      </c>
      <c r="I28" s="1">
        <v>0.3</v>
      </c>
      <c r="J28" s="1" t="s">
        <v>6</v>
      </c>
      <c r="K28" s="1" t="s">
        <v>22</v>
      </c>
      <c r="L28" s="1" t="s">
        <v>8</v>
      </c>
      <c r="M28" s="1" t="s">
        <v>10</v>
      </c>
      <c r="N28" s="3">
        <v>7.8399999999999997E-2</v>
      </c>
      <c r="O28" s="3">
        <v>5.5000000000000005E-3</v>
      </c>
      <c r="P28" s="3">
        <f t="shared" si="0"/>
        <v>7.8399999999999997E-3</v>
      </c>
      <c r="Q28" s="3">
        <f t="shared" si="1"/>
        <v>1.176E-2</v>
      </c>
      <c r="R28" s="3" t="s">
        <v>12</v>
      </c>
      <c r="S28" s="3" t="s">
        <v>14</v>
      </c>
      <c r="T28" s="1">
        <f t="shared" si="2"/>
        <v>38.762878113173372</v>
      </c>
    </row>
    <row r="29" spans="1:20" ht="17" x14ac:dyDescent="0.25">
      <c r="A29" s="2">
        <v>800</v>
      </c>
      <c r="B29" s="1">
        <v>10.5</v>
      </c>
      <c r="C29" s="1">
        <v>11.5</v>
      </c>
      <c r="D29" s="1">
        <v>-0.1</v>
      </c>
      <c r="E29" s="1">
        <v>0.2</v>
      </c>
      <c r="F29" s="1">
        <v>0.1</v>
      </c>
      <c r="G29" s="1">
        <v>0.4</v>
      </c>
      <c r="H29" s="1">
        <v>0.6</v>
      </c>
      <c r="I29" s="1">
        <v>0.5</v>
      </c>
      <c r="J29" s="1" t="s">
        <v>6</v>
      </c>
      <c r="K29" s="1" t="s">
        <v>22</v>
      </c>
      <c r="L29" s="1" t="s">
        <v>8</v>
      </c>
      <c r="M29" s="1" t="s">
        <v>10</v>
      </c>
      <c r="N29" s="3">
        <v>7.1199999999999999E-2</v>
      </c>
      <c r="O29" s="3">
        <v>4.1000000000000003E-3</v>
      </c>
      <c r="P29" s="3">
        <f t="shared" si="0"/>
        <v>7.1200000000000005E-3</v>
      </c>
      <c r="Q29" s="3">
        <f t="shared" si="1"/>
        <v>1.068E-2</v>
      </c>
      <c r="R29" s="3" t="s">
        <v>12</v>
      </c>
      <c r="S29" s="3" t="s">
        <v>14</v>
      </c>
      <c r="T29" s="1">
        <f t="shared" si="2"/>
        <v>38.762878113173372</v>
      </c>
    </row>
    <row r="30" spans="1:20" ht="17" x14ac:dyDescent="0.25">
      <c r="A30" s="2">
        <v>800</v>
      </c>
      <c r="B30" s="1">
        <v>10.5</v>
      </c>
      <c r="C30" s="1">
        <v>11.5</v>
      </c>
      <c r="D30" s="1">
        <v>-0.1</v>
      </c>
      <c r="E30" s="1">
        <v>0.2</v>
      </c>
      <c r="F30" s="1">
        <v>0.1</v>
      </c>
      <c r="G30" s="1">
        <v>0.6</v>
      </c>
      <c r="H30" s="1">
        <v>0.8</v>
      </c>
      <c r="I30" s="1">
        <v>0.7</v>
      </c>
      <c r="J30" s="1" t="s">
        <v>6</v>
      </c>
      <c r="K30" s="1" t="s">
        <v>22</v>
      </c>
      <c r="L30" s="1" t="s">
        <v>8</v>
      </c>
      <c r="M30" s="1" t="s">
        <v>10</v>
      </c>
      <c r="N30" s="3">
        <v>6.2400000000000004E-2</v>
      </c>
      <c r="O30" s="3">
        <v>3.3E-3</v>
      </c>
      <c r="P30" s="3">
        <f t="shared" si="0"/>
        <v>6.2400000000000008E-3</v>
      </c>
      <c r="Q30" s="3">
        <f t="shared" si="1"/>
        <v>9.3600000000000003E-3</v>
      </c>
      <c r="R30" s="3" t="s">
        <v>12</v>
      </c>
      <c r="S30" s="3" t="s">
        <v>14</v>
      </c>
      <c r="T30" s="1">
        <f t="shared" si="2"/>
        <v>38.762878113173372</v>
      </c>
    </row>
    <row r="31" spans="1:20" ht="17" x14ac:dyDescent="0.25">
      <c r="A31" s="2">
        <v>800</v>
      </c>
      <c r="B31" s="1">
        <v>10.5</v>
      </c>
      <c r="C31" s="1">
        <v>11.5</v>
      </c>
      <c r="D31" s="1">
        <v>-0.1</v>
      </c>
      <c r="E31" s="1">
        <v>0.2</v>
      </c>
      <c r="F31" s="1">
        <v>0.1</v>
      </c>
      <c r="G31" s="1">
        <v>0.8</v>
      </c>
      <c r="H31" s="1">
        <v>1</v>
      </c>
      <c r="I31" s="1">
        <v>0.9</v>
      </c>
      <c r="J31" s="1" t="s">
        <v>6</v>
      </c>
      <c r="K31" s="1" t="s">
        <v>22</v>
      </c>
      <c r="L31" s="1" t="s">
        <v>8</v>
      </c>
      <c r="M31" s="1" t="s">
        <v>10</v>
      </c>
      <c r="N31" s="3">
        <v>5.0300000000000004E-2</v>
      </c>
      <c r="O31" s="3">
        <v>2.5999999999999999E-3</v>
      </c>
      <c r="P31" s="3">
        <f t="shared" si="0"/>
        <v>5.0300000000000006E-3</v>
      </c>
      <c r="Q31" s="3">
        <f t="shared" si="1"/>
        <v>7.5450000000000005E-3</v>
      </c>
      <c r="R31" s="3" t="s">
        <v>12</v>
      </c>
      <c r="S31" s="3" t="s">
        <v>14</v>
      </c>
      <c r="T31" s="1">
        <f t="shared" si="2"/>
        <v>38.762878113173372</v>
      </c>
    </row>
    <row r="32" spans="1:20" ht="17" x14ac:dyDescent="0.25">
      <c r="A32" s="2">
        <v>800</v>
      </c>
      <c r="B32" s="1">
        <v>10.5</v>
      </c>
      <c r="C32" s="1">
        <v>11.5</v>
      </c>
      <c r="D32" s="1">
        <v>-0.1</v>
      </c>
      <c r="E32" s="1">
        <v>0.2</v>
      </c>
      <c r="F32" s="1">
        <v>0.1</v>
      </c>
      <c r="G32" s="1">
        <v>1</v>
      </c>
      <c r="H32" s="1">
        <v>1.2</v>
      </c>
      <c r="I32" s="1">
        <v>1.1000000000000001</v>
      </c>
      <c r="J32" s="1" t="s">
        <v>6</v>
      </c>
      <c r="K32" s="1" t="s">
        <v>22</v>
      </c>
      <c r="L32" s="1" t="s">
        <v>8</v>
      </c>
      <c r="M32" s="1" t="s">
        <v>10</v>
      </c>
      <c r="N32" s="3">
        <v>3.9E-2</v>
      </c>
      <c r="O32" s="3">
        <v>2.0999999999999999E-3</v>
      </c>
      <c r="P32" s="3">
        <f t="shared" si="0"/>
        <v>3.9000000000000003E-3</v>
      </c>
      <c r="Q32" s="3">
        <f t="shared" si="1"/>
        <v>5.8500000000000002E-3</v>
      </c>
      <c r="R32" s="3" t="s">
        <v>12</v>
      </c>
      <c r="S32" s="3" t="s">
        <v>14</v>
      </c>
      <c r="T32" s="1">
        <f t="shared" si="2"/>
        <v>38.762878113173372</v>
      </c>
    </row>
    <row r="33" spans="1:20" ht="17" x14ac:dyDescent="0.25">
      <c r="A33" s="2">
        <v>800</v>
      </c>
      <c r="B33" s="1">
        <v>10.5</v>
      </c>
      <c r="C33" s="1">
        <v>11.5</v>
      </c>
      <c r="D33" s="1">
        <v>-0.1</v>
      </c>
      <c r="E33" s="1">
        <v>0.2</v>
      </c>
      <c r="F33" s="1">
        <v>0.1</v>
      </c>
      <c r="G33" s="1">
        <v>1.2</v>
      </c>
      <c r="H33" s="1">
        <v>1.4</v>
      </c>
      <c r="I33" s="1">
        <v>1.3</v>
      </c>
      <c r="J33" s="1" t="s">
        <v>6</v>
      </c>
      <c r="K33" s="1" t="s">
        <v>22</v>
      </c>
      <c r="L33" s="1" t="s">
        <v>8</v>
      </c>
      <c r="M33" s="1" t="s">
        <v>10</v>
      </c>
      <c r="N33" s="3">
        <v>3.1200000000000002E-2</v>
      </c>
      <c r="O33" s="3">
        <v>1.8000000000000002E-3</v>
      </c>
      <c r="P33" s="3">
        <f t="shared" si="0"/>
        <v>3.1200000000000004E-3</v>
      </c>
      <c r="Q33" s="3">
        <f t="shared" si="1"/>
        <v>4.6800000000000001E-3</v>
      </c>
      <c r="R33" s="3" t="s">
        <v>12</v>
      </c>
      <c r="S33" s="3" t="s">
        <v>14</v>
      </c>
      <c r="T33" s="1">
        <f t="shared" si="2"/>
        <v>38.762878113173372</v>
      </c>
    </row>
    <row r="34" spans="1:20" ht="17" x14ac:dyDescent="0.25">
      <c r="A34" s="2">
        <v>800</v>
      </c>
      <c r="B34" s="1">
        <v>10.5</v>
      </c>
      <c r="C34" s="1">
        <v>11.5</v>
      </c>
      <c r="D34" s="1">
        <v>-0.1</v>
      </c>
      <c r="E34" s="1">
        <v>0.2</v>
      </c>
      <c r="F34" s="1">
        <v>0.1</v>
      </c>
      <c r="G34" s="1">
        <v>1.4</v>
      </c>
      <c r="H34" s="1">
        <v>1.6</v>
      </c>
      <c r="I34" s="1">
        <v>1.5</v>
      </c>
      <c r="J34" s="1" t="s">
        <v>6</v>
      </c>
      <c r="K34" s="1" t="s">
        <v>22</v>
      </c>
      <c r="L34" s="1" t="s">
        <v>8</v>
      </c>
      <c r="M34" s="1" t="s">
        <v>10</v>
      </c>
      <c r="N34" s="3">
        <v>2.3400000000000001E-2</v>
      </c>
      <c r="O34" s="3">
        <v>1.5000000000000002E-3</v>
      </c>
      <c r="P34" s="3">
        <f t="shared" si="0"/>
        <v>2.3400000000000001E-3</v>
      </c>
      <c r="Q34" s="3">
        <f t="shared" si="1"/>
        <v>3.5100000000000001E-3</v>
      </c>
      <c r="R34" s="3" t="s">
        <v>12</v>
      </c>
      <c r="S34" s="3" t="s">
        <v>14</v>
      </c>
      <c r="T34" s="1">
        <f t="shared" si="2"/>
        <v>38.762878113173372</v>
      </c>
    </row>
    <row r="35" spans="1:20" ht="17" x14ac:dyDescent="0.25">
      <c r="A35" s="2">
        <v>800</v>
      </c>
      <c r="B35" s="1">
        <v>10.5</v>
      </c>
      <c r="C35" s="1">
        <v>11.5</v>
      </c>
      <c r="D35" s="1">
        <v>-0.1</v>
      </c>
      <c r="E35" s="1">
        <v>0.2</v>
      </c>
      <c r="F35" s="1">
        <v>0.1</v>
      </c>
      <c r="G35" s="1">
        <v>1.6</v>
      </c>
      <c r="H35" s="1">
        <v>1.8</v>
      </c>
      <c r="I35" s="1">
        <v>1.7</v>
      </c>
      <c r="J35" s="1" t="s">
        <v>6</v>
      </c>
      <c r="K35" s="1" t="s">
        <v>22</v>
      </c>
      <c r="L35" s="1" t="s">
        <v>8</v>
      </c>
      <c r="M35" s="1" t="s">
        <v>10</v>
      </c>
      <c r="N35" s="3">
        <v>1.4700000000000001E-2</v>
      </c>
      <c r="O35" s="3">
        <v>1E-3</v>
      </c>
      <c r="P35" s="3">
        <f t="shared" si="0"/>
        <v>1.4700000000000002E-3</v>
      </c>
      <c r="Q35" s="3">
        <f t="shared" si="1"/>
        <v>2.2049999999999999E-3</v>
      </c>
      <c r="R35" s="3" t="s">
        <v>12</v>
      </c>
      <c r="S35" s="3" t="s">
        <v>14</v>
      </c>
      <c r="T35" s="1">
        <f t="shared" si="2"/>
        <v>38.762878113173372</v>
      </c>
    </row>
    <row r="36" spans="1:20" ht="17" x14ac:dyDescent="0.25">
      <c r="A36" s="2">
        <v>800</v>
      </c>
      <c r="B36" s="1">
        <v>10.5</v>
      </c>
      <c r="C36" s="1">
        <v>11.5</v>
      </c>
      <c r="D36" s="1">
        <v>-0.1</v>
      </c>
      <c r="E36" s="1">
        <v>0.2</v>
      </c>
      <c r="F36" s="1">
        <v>0.1</v>
      </c>
      <c r="G36" s="1">
        <v>1.8</v>
      </c>
      <c r="H36" s="1">
        <v>2</v>
      </c>
      <c r="I36" s="1">
        <v>1.9</v>
      </c>
      <c r="J36" s="1" t="s">
        <v>6</v>
      </c>
      <c r="K36" s="1" t="s">
        <v>22</v>
      </c>
      <c r="L36" s="1" t="s">
        <v>8</v>
      </c>
      <c r="M36" s="1" t="s">
        <v>10</v>
      </c>
      <c r="N36" s="3">
        <v>1.3100000000000001E-2</v>
      </c>
      <c r="O36" s="3">
        <v>1.1000000000000001E-3</v>
      </c>
      <c r="P36" s="3">
        <f t="shared" si="0"/>
        <v>1.3100000000000002E-3</v>
      </c>
      <c r="Q36" s="3">
        <f t="shared" si="1"/>
        <v>1.9650000000000002E-3</v>
      </c>
      <c r="R36" s="3" t="s">
        <v>12</v>
      </c>
      <c r="S36" s="3" t="s">
        <v>14</v>
      </c>
      <c r="T36" s="1">
        <f t="shared" si="2"/>
        <v>38.762878113173372</v>
      </c>
    </row>
    <row r="37" spans="1:20" ht="17" x14ac:dyDescent="0.25">
      <c r="A37" s="2">
        <v>800</v>
      </c>
      <c r="B37" s="1">
        <v>10.5</v>
      </c>
      <c r="C37" s="1">
        <v>11.5</v>
      </c>
      <c r="D37" s="1">
        <v>-0.1</v>
      </c>
      <c r="E37" s="1">
        <v>0.2</v>
      </c>
      <c r="F37" s="1">
        <v>0.1</v>
      </c>
      <c r="G37" s="1">
        <v>2</v>
      </c>
      <c r="H37" s="1">
        <v>2.2000000000000002</v>
      </c>
      <c r="I37" s="1">
        <v>2.1</v>
      </c>
      <c r="J37" s="1" t="s">
        <v>6</v>
      </c>
      <c r="K37" s="1" t="s">
        <v>22</v>
      </c>
      <c r="L37" s="1" t="s">
        <v>8</v>
      </c>
      <c r="M37" s="1" t="s">
        <v>10</v>
      </c>
      <c r="N37" s="3">
        <v>7.0499999999999998E-3</v>
      </c>
      <c r="O37" s="3">
        <v>7.2000000000000005E-4</v>
      </c>
      <c r="P37" s="3">
        <f t="shared" si="0"/>
        <v>7.0500000000000001E-4</v>
      </c>
      <c r="Q37" s="3">
        <f t="shared" si="1"/>
        <v>1.0574999999999998E-3</v>
      </c>
      <c r="R37" s="3" t="s">
        <v>12</v>
      </c>
      <c r="S37" s="3" t="s">
        <v>14</v>
      </c>
      <c r="T37" s="1">
        <f t="shared" si="2"/>
        <v>38.762878113173372</v>
      </c>
    </row>
    <row r="38" spans="1:20" ht="17" x14ac:dyDescent="0.25">
      <c r="A38" s="2">
        <v>800</v>
      </c>
      <c r="B38" s="1">
        <v>10.5</v>
      </c>
      <c r="C38" s="1">
        <v>11.5</v>
      </c>
      <c r="D38" s="1">
        <v>-0.1</v>
      </c>
      <c r="E38" s="1">
        <v>0.2</v>
      </c>
      <c r="F38" s="1">
        <v>0.1</v>
      </c>
      <c r="G38" s="1">
        <v>2.2000000000000002</v>
      </c>
      <c r="H38" s="1">
        <v>2.4</v>
      </c>
      <c r="I38" s="1">
        <v>2.2999999999999998</v>
      </c>
      <c r="J38" s="1" t="s">
        <v>6</v>
      </c>
      <c r="K38" s="1" t="s">
        <v>22</v>
      </c>
      <c r="L38" s="1" t="s">
        <v>8</v>
      </c>
      <c r="M38" s="1" t="s">
        <v>10</v>
      </c>
      <c r="N38" s="3">
        <v>5.0000000000000001E-3</v>
      </c>
      <c r="O38" s="3">
        <v>6.1000000000000008E-4</v>
      </c>
      <c r="P38" s="3">
        <f t="shared" si="0"/>
        <v>5.0000000000000001E-4</v>
      </c>
      <c r="Q38" s="3">
        <f t="shared" si="1"/>
        <v>7.5000000000000002E-4</v>
      </c>
      <c r="R38" s="3" t="s">
        <v>12</v>
      </c>
      <c r="S38" s="3" t="s">
        <v>14</v>
      </c>
      <c r="T38" s="1">
        <f t="shared" si="2"/>
        <v>38.762878113173372</v>
      </c>
    </row>
    <row r="39" spans="1:20" ht="17" x14ac:dyDescent="0.25">
      <c r="A39" s="2">
        <v>800</v>
      </c>
      <c r="B39" s="1">
        <v>10.5</v>
      </c>
      <c r="C39" s="1">
        <v>11.5</v>
      </c>
      <c r="D39" s="1">
        <v>-0.1</v>
      </c>
      <c r="E39" s="1">
        <v>0.2</v>
      </c>
      <c r="F39" s="1">
        <v>0.1</v>
      </c>
      <c r="G39" s="1">
        <v>2.4</v>
      </c>
      <c r="H39" s="1">
        <v>2.6</v>
      </c>
      <c r="I39" s="1">
        <v>2.5</v>
      </c>
      <c r="J39" s="1" t="s">
        <v>6</v>
      </c>
      <c r="K39" s="1" t="s">
        <v>22</v>
      </c>
      <c r="L39" s="1" t="s">
        <v>8</v>
      </c>
      <c r="M39" s="1" t="s">
        <v>10</v>
      </c>
      <c r="N39" s="3">
        <v>4.5900000000000003E-3</v>
      </c>
      <c r="O39" s="3">
        <v>6.2E-4</v>
      </c>
      <c r="P39" s="3">
        <f t="shared" si="0"/>
        <v>4.5900000000000004E-4</v>
      </c>
      <c r="Q39" s="3">
        <f t="shared" si="1"/>
        <v>6.8849999999999998E-4</v>
      </c>
      <c r="R39" s="3" t="s">
        <v>12</v>
      </c>
      <c r="S39" s="3" t="s">
        <v>14</v>
      </c>
      <c r="T39" s="1">
        <f t="shared" si="2"/>
        <v>38.762878113173372</v>
      </c>
    </row>
    <row r="40" spans="1:20" ht="17" x14ac:dyDescent="0.25">
      <c r="A40" s="2">
        <v>800</v>
      </c>
      <c r="B40" s="1">
        <v>10.5</v>
      </c>
      <c r="C40" s="1">
        <v>11.5</v>
      </c>
      <c r="D40" s="1">
        <v>-0.1</v>
      </c>
      <c r="E40" s="1">
        <v>0.2</v>
      </c>
      <c r="F40" s="1">
        <v>0.1</v>
      </c>
      <c r="G40" s="1">
        <v>2.6</v>
      </c>
      <c r="H40" s="1">
        <v>2.8</v>
      </c>
      <c r="I40" s="1">
        <v>2.7</v>
      </c>
      <c r="J40" s="1" t="s">
        <v>6</v>
      </c>
      <c r="K40" s="1" t="s">
        <v>22</v>
      </c>
      <c r="L40" s="1" t="s">
        <v>8</v>
      </c>
      <c r="M40" s="1" t="s">
        <v>10</v>
      </c>
      <c r="N40" s="3">
        <v>3.3E-3</v>
      </c>
      <c r="O40" s="3">
        <v>5.9000000000000003E-4</v>
      </c>
      <c r="P40" s="3">
        <f t="shared" si="0"/>
        <v>3.3E-4</v>
      </c>
      <c r="Q40" s="3">
        <f t="shared" si="1"/>
        <v>4.95E-4</v>
      </c>
      <c r="R40" s="3" t="s">
        <v>12</v>
      </c>
      <c r="S40" s="3" t="s">
        <v>14</v>
      </c>
      <c r="T40" s="1">
        <f t="shared" si="2"/>
        <v>38.762878113173372</v>
      </c>
    </row>
    <row r="41" spans="1:20" ht="17" x14ac:dyDescent="0.25">
      <c r="A41" s="2">
        <v>800</v>
      </c>
      <c r="B41" s="1">
        <v>10.5</v>
      </c>
      <c r="C41" s="1">
        <v>11.5</v>
      </c>
      <c r="D41" s="1">
        <v>-0.1</v>
      </c>
      <c r="E41" s="1">
        <v>0.2</v>
      </c>
      <c r="F41" s="1">
        <v>0.1</v>
      </c>
      <c r="G41" s="1">
        <v>2.8</v>
      </c>
      <c r="H41" s="1">
        <v>3</v>
      </c>
      <c r="I41" s="1">
        <v>2.9</v>
      </c>
      <c r="J41" s="1" t="s">
        <v>6</v>
      </c>
      <c r="K41" s="1" t="s">
        <v>22</v>
      </c>
      <c r="L41" s="1" t="s">
        <v>8</v>
      </c>
      <c r="M41" s="1" t="s">
        <v>10</v>
      </c>
      <c r="N41" s="3">
        <v>2.15E-3</v>
      </c>
      <c r="O41" s="3">
        <v>4.8999999999999998E-4</v>
      </c>
      <c r="P41" s="3">
        <f t="shared" si="0"/>
        <v>2.1500000000000002E-4</v>
      </c>
      <c r="Q41" s="3">
        <f t="shared" si="1"/>
        <v>3.2249999999999998E-4</v>
      </c>
      <c r="R41" s="3" t="s">
        <v>12</v>
      </c>
      <c r="S41" s="3" t="s">
        <v>14</v>
      </c>
      <c r="T41" s="1">
        <f t="shared" si="2"/>
        <v>38.762878113173372</v>
      </c>
    </row>
    <row r="42" spans="1:20" ht="17" x14ac:dyDescent="0.25">
      <c r="A42" s="2">
        <v>800</v>
      </c>
      <c r="B42" s="1">
        <v>10.5</v>
      </c>
      <c r="C42" s="1">
        <v>11.5</v>
      </c>
      <c r="D42" s="1">
        <v>-0.1</v>
      </c>
      <c r="E42" s="1">
        <v>0.2</v>
      </c>
      <c r="F42" s="1">
        <v>0.1</v>
      </c>
      <c r="G42" s="1">
        <v>3</v>
      </c>
      <c r="H42" s="1">
        <v>3.2</v>
      </c>
      <c r="I42" s="1">
        <v>3.1</v>
      </c>
      <c r="J42" s="1" t="s">
        <v>6</v>
      </c>
      <c r="K42" s="1" t="s">
        <v>22</v>
      </c>
      <c r="L42" s="1" t="s">
        <v>8</v>
      </c>
      <c r="M42" s="1" t="s">
        <v>10</v>
      </c>
      <c r="N42" s="3">
        <v>1.5900000000000003E-3</v>
      </c>
      <c r="O42" s="3">
        <v>5.2000000000000006E-4</v>
      </c>
      <c r="P42" s="3">
        <f t="shared" si="0"/>
        <v>1.5900000000000004E-4</v>
      </c>
      <c r="Q42" s="3">
        <f t="shared" si="1"/>
        <v>2.3850000000000002E-4</v>
      </c>
      <c r="R42" s="3" t="s">
        <v>12</v>
      </c>
      <c r="S42" s="3" t="s">
        <v>14</v>
      </c>
      <c r="T42" s="1">
        <f t="shared" si="2"/>
        <v>38.762878113173372</v>
      </c>
    </row>
    <row r="43" spans="1:20" ht="17" x14ac:dyDescent="0.25">
      <c r="A43" s="2">
        <v>800</v>
      </c>
      <c r="B43" s="1">
        <v>11.5</v>
      </c>
      <c r="C43" s="1">
        <v>13.5</v>
      </c>
      <c r="D43" s="1">
        <v>-0.1</v>
      </c>
      <c r="E43" s="1">
        <v>0.2</v>
      </c>
      <c r="F43" s="1">
        <v>0.1</v>
      </c>
      <c r="G43" s="1">
        <v>0</v>
      </c>
      <c r="H43" s="1">
        <v>0.2</v>
      </c>
      <c r="I43" s="1">
        <v>0.1</v>
      </c>
      <c r="J43" s="1" t="s">
        <v>6</v>
      </c>
      <c r="K43" s="1" t="s">
        <v>22</v>
      </c>
      <c r="L43" s="1" t="s">
        <v>8</v>
      </c>
      <c r="M43" s="1" t="s">
        <v>10</v>
      </c>
      <c r="N43" s="3">
        <v>5.0799999999999998E-2</v>
      </c>
      <c r="O43" s="3">
        <v>6.3999999999999994E-3</v>
      </c>
      <c r="P43" s="3">
        <f t="shared" si="0"/>
        <v>5.0800000000000003E-3</v>
      </c>
      <c r="Q43" s="3">
        <f t="shared" si="1"/>
        <v>7.6199999999999992E-3</v>
      </c>
      <c r="R43" s="3" t="s">
        <v>12</v>
      </c>
      <c r="S43" s="3" t="s">
        <v>14</v>
      </c>
      <c r="T43" s="1">
        <f t="shared" si="2"/>
        <v>38.762878113173372</v>
      </c>
    </row>
    <row r="44" spans="1:20" ht="17" x14ac:dyDescent="0.25">
      <c r="A44" s="2">
        <v>800</v>
      </c>
      <c r="B44" s="1">
        <v>11.5</v>
      </c>
      <c r="C44" s="1">
        <v>13.5</v>
      </c>
      <c r="D44" s="1">
        <v>-0.1</v>
      </c>
      <c r="E44" s="1">
        <v>0.2</v>
      </c>
      <c r="F44" s="1">
        <v>0.1</v>
      </c>
      <c r="G44" s="1">
        <v>0.2</v>
      </c>
      <c r="H44" s="1">
        <v>0.4</v>
      </c>
      <c r="I44" s="1">
        <v>0.3</v>
      </c>
      <c r="J44" s="1" t="s">
        <v>6</v>
      </c>
      <c r="K44" s="1" t="s">
        <v>22</v>
      </c>
      <c r="L44" s="1" t="s">
        <v>8</v>
      </c>
      <c r="M44" s="1" t="s">
        <v>10</v>
      </c>
      <c r="N44" s="3">
        <v>6.7900000000000002E-2</v>
      </c>
      <c r="O44" s="3">
        <v>4.8000000000000004E-3</v>
      </c>
      <c r="P44" s="3">
        <f t="shared" si="0"/>
        <v>6.7900000000000009E-3</v>
      </c>
      <c r="Q44" s="3">
        <f t="shared" si="1"/>
        <v>1.0185E-2</v>
      </c>
      <c r="R44" s="3" t="s">
        <v>12</v>
      </c>
      <c r="S44" s="3" t="s">
        <v>14</v>
      </c>
      <c r="T44" s="1">
        <f t="shared" si="2"/>
        <v>38.762878113173372</v>
      </c>
    </row>
    <row r="45" spans="1:20" ht="17" x14ac:dyDescent="0.25">
      <c r="A45" s="2">
        <v>800</v>
      </c>
      <c r="B45" s="1">
        <v>11.5</v>
      </c>
      <c r="C45" s="1">
        <v>13.5</v>
      </c>
      <c r="D45" s="1">
        <v>-0.1</v>
      </c>
      <c r="E45" s="1">
        <v>0.2</v>
      </c>
      <c r="F45" s="1">
        <v>0.1</v>
      </c>
      <c r="G45" s="1">
        <v>0.4</v>
      </c>
      <c r="H45" s="1">
        <v>0.6</v>
      </c>
      <c r="I45" s="1">
        <v>0.5</v>
      </c>
      <c r="J45" s="1" t="s">
        <v>6</v>
      </c>
      <c r="K45" s="1" t="s">
        <v>22</v>
      </c>
      <c r="L45" s="1" t="s">
        <v>8</v>
      </c>
      <c r="M45" s="1" t="s">
        <v>10</v>
      </c>
      <c r="N45" s="3">
        <v>6.4600000000000005E-2</v>
      </c>
      <c r="O45" s="3">
        <v>3.9000000000000003E-3</v>
      </c>
      <c r="P45" s="3">
        <f t="shared" si="0"/>
        <v>6.4600000000000005E-3</v>
      </c>
      <c r="Q45" s="3">
        <f t="shared" si="1"/>
        <v>9.6900000000000007E-3</v>
      </c>
      <c r="R45" s="3" t="s">
        <v>12</v>
      </c>
      <c r="S45" s="3" t="s">
        <v>14</v>
      </c>
      <c r="T45" s="1">
        <f t="shared" si="2"/>
        <v>38.762878113173372</v>
      </c>
    </row>
    <row r="46" spans="1:20" ht="17" x14ac:dyDescent="0.25">
      <c r="A46" s="2">
        <v>800</v>
      </c>
      <c r="B46" s="1">
        <v>11.5</v>
      </c>
      <c r="C46" s="1">
        <v>13.5</v>
      </c>
      <c r="D46" s="1">
        <v>-0.1</v>
      </c>
      <c r="E46" s="1">
        <v>0.2</v>
      </c>
      <c r="F46" s="1">
        <v>0.1</v>
      </c>
      <c r="G46" s="1">
        <v>0.6</v>
      </c>
      <c r="H46" s="1">
        <v>0.8</v>
      </c>
      <c r="I46" s="1">
        <v>0.7</v>
      </c>
      <c r="J46" s="1" t="s">
        <v>6</v>
      </c>
      <c r="K46" s="1" t="s">
        <v>22</v>
      </c>
      <c r="L46" s="1" t="s">
        <v>8</v>
      </c>
      <c r="M46" s="1" t="s">
        <v>10</v>
      </c>
      <c r="N46" s="3">
        <v>4.9200000000000001E-2</v>
      </c>
      <c r="O46" s="3">
        <v>2.5999999999999999E-3</v>
      </c>
      <c r="P46" s="3">
        <f t="shared" si="0"/>
        <v>4.9200000000000008E-3</v>
      </c>
      <c r="Q46" s="3">
        <f t="shared" si="1"/>
        <v>7.3799999999999994E-3</v>
      </c>
      <c r="R46" s="3" t="s">
        <v>12</v>
      </c>
      <c r="S46" s="3" t="s">
        <v>14</v>
      </c>
      <c r="T46" s="1">
        <f t="shared" si="2"/>
        <v>38.762878113173372</v>
      </c>
    </row>
    <row r="47" spans="1:20" ht="17" x14ac:dyDescent="0.25">
      <c r="A47" s="2">
        <v>800</v>
      </c>
      <c r="B47" s="1">
        <v>11.5</v>
      </c>
      <c r="C47" s="1">
        <v>13.5</v>
      </c>
      <c r="D47" s="1">
        <v>-0.1</v>
      </c>
      <c r="E47" s="1">
        <v>0.2</v>
      </c>
      <c r="F47" s="1">
        <v>0.1</v>
      </c>
      <c r="G47" s="1">
        <v>0.8</v>
      </c>
      <c r="H47" s="1">
        <v>1</v>
      </c>
      <c r="I47" s="1">
        <v>0.9</v>
      </c>
      <c r="J47" s="1" t="s">
        <v>6</v>
      </c>
      <c r="K47" s="1" t="s">
        <v>22</v>
      </c>
      <c r="L47" s="1" t="s">
        <v>8</v>
      </c>
      <c r="M47" s="1" t="s">
        <v>10</v>
      </c>
      <c r="N47" s="3">
        <v>4.1700000000000001E-2</v>
      </c>
      <c r="O47" s="3">
        <v>2.2000000000000001E-3</v>
      </c>
      <c r="P47" s="3">
        <f t="shared" si="0"/>
        <v>4.1700000000000001E-3</v>
      </c>
      <c r="Q47" s="3">
        <f t="shared" si="1"/>
        <v>6.2550000000000001E-3</v>
      </c>
      <c r="R47" s="3" t="s">
        <v>12</v>
      </c>
      <c r="S47" s="3" t="s">
        <v>14</v>
      </c>
      <c r="T47" s="1">
        <f t="shared" si="2"/>
        <v>38.762878113173372</v>
      </c>
    </row>
    <row r="48" spans="1:20" ht="17" x14ac:dyDescent="0.25">
      <c r="A48" s="2">
        <v>800</v>
      </c>
      <c r="B48" s="1">
        <v>11.5</v>
      </c>
      <c r="C48" s="1">
        <v>13.5</v>
      </c>
      <c r="D48" s="1">
        <v>-0.1</v>
      </c>
      <c r="E48" s="1">
        <v>0.2</v>
      </c>
      <c r="F48" s="1">
        <v>0.1</v>
      </c>
      <c r="G48" s="1">
        <v>1</v>
      </c>
      <c r="H48" s="1">
        <v>1.2</v>
      </c>
      <c r="I48" s="1">
        <v>1.1000000000000001</v>
      </c>
      <c r="J48" s="1" t="s">
        <v>6</v>
      </c>
      <c r="K48" s="1" t="s">
        <v>22</v>
      </c>
      <c r="L48" s="1" t="s">
        <v>8</v>
      </c>
      <c r="M48" s="1" t="s">
        <v>10</v>
      </c>
      <c r="N48" s="3">
        <v>3.2300000000000002E-2</v>
      </c>
      <c r="O48" s="3">
        <v>1.8000000000000002E-3</v>
      </c>
      <c r="P48" s="3">
        <f t="shared" si="0"/>
        <v>3.2300000000000002E-3</v>
      </c>
      <c r="Q48" s="3">
        <f t="shared" si="1"/>
        <v>4.8450000000000003E-3</v>
      </c>
      <c r="R48" s="3" t="s">
        <v>12</v>
      </c>
      <c r="S48" s="3" t="s">
        <v>14</v>
      </c>
      <c r="T48" s="1">
        <f t="shared" si="2"/>
        <v>38.762878113173372</v>
      </c>
    </row>
    <row r="49" spans="1:20" ht="17" x14ac:dyDescent="0.25">
      <c r="A49" s="2">
        <v>800</v>
      </c>
      <c r="B49" s="1">
        <v>11.5</v>
      </c>
      <c r="C49" s="1">
        <v>13.5</v>
      </c>
      <c r="D49" s="1">
        <v>-0.1</v>
      </c>
      <c r="E49" s="1">
        <v>0.2</v>
      </c>
      <c r="F49" s="1">
        <v>0.1</v>
      </c>
      <c r="G49" s="1">
        <v>1.2</v>
      </c>
      <c r="H49" s="1">
        <v>1.4</v>
      </c>
      <c r="I49" s="1">
        <v>1.3</v>
      </c>
      <c r="J49" s="1" t="s">
        <v>6</v>
      </c>
      <c r="K49" s="1" t="s">
        <v>22</v>
      </c>
      <c r="L49" s="1" t="s">
        <v>8</v>
      </c>
      <c r="M49" s="1" t="s">
        <v>10</v>
      </c>
      <c r="N49" s="3">
        <v>2.4700000000000003E-2</v>
      </c>
      <c r="O49" s="3">
        <v>1.5000000000000002E-3</v>
      </c>
      <c r="P49" s="3">
        <f t="shared" si="0"/>
        <v>2.4700000000000004E-3</v>
      </c>
      <c r="Q49" s="3">
        <f t="shared" si="1"/>
        <v>3.7050000000000004E-3</v>
      </c>
      <c r="R49" s="3" t="s">
        <v>12</v>
      </c>
      <c r="S49" s="3" t="s">
        <v>14</v>
      </c>
      <c r="T49" s="1">
        <f t="shared" si="2"/>
        <v>38.762878113173372</v>
      </c>
    </row>
    <row r="50" spans="1:20" ht="17" x14ac:dyDescent="0.25">
      <c r="A50" s="2">
        <v>800</v>
      </c>
      <c r="B50" s="1">
        <v>11.5</v>
      </c>
      <c r="C50" s="1">
        <v>13.5</v>
      </c>
      <c r="D50" s="1">
        <v>-0.1</v>
      </c>
      <c r="E50" s="1">
        <v>0.2</v>
      </c>
      <c r="F50" s="1">
        <v>0.1</v>
      </c>
      <c r="G50" s="1">
        <v>1.4</v>
      </c>
      <c r="H50" s="1">
        <v>1.6</v>
      </c>
      <c r="I50" s="1">
        <v>1.5</v>
      </c>
      <c r="J50" s="1" t="s">
        <v>6</v>
      </c>
      <c r="K50" s="1" t="s">
        <v>22</v>
      </c>
      <c r="L50" s="1" t="s">
        <v>8</v>
      </c>
      <c r="M50" s="1" t="s">
        <v>10</v>
      </c>
      <c r="N50" s="3">
        <v>1.9400000000000001E-2</v>
      </c>
      <c r="O50" s="3">
        <v>1.2000000000000001E-3</v>
      </c>
      <c r="P50" s="3">
        <f t="shared" si="0"/>
        <v>1.9400000000000001E-3</v>
      </c>
      <c r="Q50" s="3">
        <f t="shared" si="1"/>
        <v>2.9099999999999998E-3</v>
      </c>
      <c r="R50" s="3" t="s">
        <v>12</v>
      </c>
      <c r="S50" s="3" t="s">
        <v>14</v>
      </c>
      <c r="T50" s="1">
        <f t="shared" si="2"/>
        <v>38.762878113173372</v>
      </c>
    </row>
    <row r="51" spans="1:20" ht="17" x14ac:dyDescent="0.25">
      <c r="A51" s="2">
        <v>800</v>
      </c>
      <c r="B51" s="1">
        <v>11.5</v>
      </c>
      <c r="C51" s="1">
        <v>13.5</v>
      </c>
      <c r="D51" s="1">
        <v>-0.1</v>
      </c>
      <c r="E51" s="1">
        <v>0.2</v>
      </c>
      <c r="F51" s="1">
        <v>0.1</v>
      </c>
      <c r="G51" s="1">
        <v>1.6</v>
      </c>
      <c r="H51" s="1">
        <v>1.8</v>
      </c>
      <c r="I51" s="1">
        <v>1.7</v>
      </c>
      <c r="J51" s="1" t="s">
        <v>6</v>
      </c>
      <c r="K51" s="1" t="s">
        <v>22</v>
      </c>
      <c r="L51" s="1" t="s">
        <v>8</v>
      </c>
      <c r="M51" s="1" t="s">
        <v>10</v>
      </c>
      <c r="N51" s="3">
        <v>1.37E-2</v>
      </c>
      <c r="O51" s="3">
        <v>1E-3</v>
      </c>
      <c r="P51" s="3">
        <f t="shared" si="0"/>
        <v>1.3700000000000001E-3</v>
      </c>
      <c r="Q51" s="3">
        <f t="shared" si="1"/>
        <v>2.055E-3</v>
      </c>
      <c r="R51" s="3" t="s">
        <v>12</v>
      </c>
      <c r="S51" s="3" t="s">
        <v>14</v>
      </c>
      <c r="T51" s="1">
        <f t="shared" si="2"/>
        <v>38.762878113173372</v>
      </c>
    </row>
    <row r="52" spans="1:20" ht="17" x14ac:dyDescent="0.25">
      <c r="A52" s="2">
        <v>800</v>
      </c>
      <c r="B52" s="1">
        <v>11.5</v>
      </c>
      <c r="C52" s="1">
        <v>13.5</v>
      </c>
      <c r="D52" s="1">
        <v>-0.1</v>
      </c>
      <c r="E52" s="1">
        <v>0.2</v>
      </c>
      <c r="F52" s="1">
        <v>0.1</v>
      </c>
      <c r="G52" s="1">
        <v>1.8</v>
      </c>
      <c r="H52" s="1">
        <v>2</v>
      </c>
      <c r="I52" s="1">
        <v>1.9</v>
      </c>
      <c r="J52" s="1" t="s">
        <v>6</v>
      </c>
      <c r="K52" s="1" t="s">
        <v>22</v>
      </c>
      <c r="L52" s="1" t="s">
        <v>8</v>
      </c>
      <c r="M52" s="1" t="s">
        <v>10</v>
      </c>
      <c r="N52" s="3">
        <v>8.660000000000001E-3</v>
      </c>
      <c r="O52" s="3">
        <v>7.3000000000000007E-4</v>
      </c>
      <c r="P52" s="3">
        <f t="shared" si="0"/>
        <v>8.6600000000000012E-4</v>
      </c>
      <c r="Q52" s="3">
        <f t="shared" si="1"/>
        <v>1.299E-3</v>
      </c>
      <c r="R52" s="3" t="s">
        <v>12</v>
      </c>
      <c r="S52" s="3" t="s">
        <v>14</v>
      </c>
      <c r="T52" s="1">
        <f t="shared" si="2"/>
        <v>38.762878113173372</v>
      </c>
    </row>
    <row r="53" spans="1:20" ht="17" x14ac:dyDescent="0.25">
      <c r="A53" s="2">
        <v>800</v>
      </c>
      <c r="B53" s="1">
        <v>11.5</v>
      </c>
      <c r="C53" s="1">
        <v>13.5</v>
      </c>
      <c r="D53" s="1">
        <v>-0.1</v>
      </c>
      <c r="E53" s="1">
        <v>0.2</v>
      </c>
      <c r="F53" s="1">
        <v>0.1</v>
      </c>
      <c r="G53" s="1">
        <v>2</v>
      </c>
      <c r="H53" s="1">
        <v>2.2000000000000002</v>
      </c>
      <c r="I53" s="1">
        <v>2.1</v>
      </c>
      <c r="J53" s="1" t="s">
        <v>6</v>
      </c>
      <c r="K53" s="1" t="s">
        <v>22</v>
      </c>
      <c r="L53" s="1" t="s">
        <v>8</v>
      </c>
      <c r="M53" s="1" t="s">
        <v>10</v>
      </c>
      <c r="N53" s="3">
        <v>6.7900000000000009E-3</v>
      </c>
      <c r="O53" s="3">
        <v>6.4000000000000005E-4</v>
      </c>
      <c r="P53" s="3">
        <f t="shared" si="0"/>
        <v>6.7900000000000013E-4</v>
      </c>
      <c r="Q53" s="3">
        <f t="shared" si="1"/>
        <v>1.0185000000000001E-3</v>
      </c>
      <c r="R53" s="3" t="s">
        <v>12</v>
      </c>
      <c r="S53" s="3" t="s">
        <v>14</v>
      </c>
      <c r="T53" s="1">
        <f t="shared" si="2"/>
        <v>38.762878113173372</v>
      </c>
    </row>
    <row r="54" spans="1:20" ht="17" x14ac:dyDescent="0.25">
      <c r="A54" s="2">
        <v>800</v>
      </c>
      <c r="B54" s="1">
        <v>11.5</v>
      </c>
      <c r="C54" s="1">
        <v>13.5</v>
      </c>
      <c r="D54" s="1">
        <v>-0.1</v>
      </c>
      <c r="E54" s="1">
        <v>0.2</v>
      </c>
      <c r="F54" s="1">
        <v>0.1</v>
      </c>
      <c r="G54" s="1">
        <v>2.2000000000000002</v>
      </c>
      <c r="H54" s="1">
        <v>2.4</v>
      </c>
      <c r="I54" s="1">
        <v>2.2999999999999998</v>
      </c>
      <c r="J54" s="1" t="s">
        <v>6</v>
      </c>
      <c r="K54" s="1" t="s">
        <v>22</v>
      </c>
      <c r="L54" s="1" t="s">
        <v>8</v>
      </c>
      <c r="M54" s="1" t="s">
        <v>10</v>
      </c>
      <c r="N54" s="3">
        <v>4.4000000000000003E-3</v>
      </c>
      <c r="O54" s="3">
        <v>5.5000000000000003E-4</v>
      </c>
      <c r="P54" s="3">
        <f t="shared" si="0"/>
        <v>4.4000000000000007E-4</v>
      </c>
      <c r="Q54" s="3">
        <f t="shared" si="1"/>
        <v>6.6E-4</v>
      </c>
      <c r="R54" s="3" t="s">
        <v>12</v>
      </c>
      <c r="S54" s="3" t="s">
        <v>14</v>
      </c>
      <c r="T54" s="1">
        <f t="shared" si="2"/>
        <v>38.762878113173372</v>
      </c>
    </row>
    <row r="55" spans="1:20" ht="17" x14ac:dyDescent="0.25">
      <c r="A55" s="2">
        <v>800</v>
      </c>
      <c r="B55" s="1">
        <v>11.5</v>
      </c>
      <c r="C55" s="1">
        <v>13.5</v>
      </c>
      <c r="D55" s="1">
        <v>-0.1</v>
      </c>
      <c r="E55" s="1">
        <v>0.2</v>
      </c>
      <c r="F55" s="1">
        <v>0.1</v>
      </c>
      <c r="G55" s="1">
        <v>2.4</v>
      </c>
      <c r="H55" s="1">
        <v>2.6</v>
      </c>
      <c r="I55" s="1">
        <v>2.5</v>
      </c>
      <c r="J55" s="1" t="s">
        <v>6</v>
      </c>
      <c r="K55" s="1" t="s">
        <v>22</v>
      </c>
      <c r="L55" s="1" t="s">
        <v>8</v>
      </c>
      <c r="M55" s="1" t="s">
        <v>10</v>
      </c>
      <c r="N55" s="3">
        <v>3.3400000000000001E-3</v>
      </c>
      <c r="O55" s="3">
        <v>4.8000000000000001E-4</v>
      </c>
      <c r="P55" s="3">
        <f t="shared" si="0"/>
        <v>3.3400000000000004E-4</v>
      </c>
      <c r="Q55" s="3">
        <f t="shared" si="1"/>
        <v>5.0100000000000003E-4</v>
      </c>
      <c r="R55" s="3" t="s">
        <v>12</v>
      </c>
      <c r="S55" s="3" t="s">
        <v>14</v>
      </c>
      <c r="T55" s="1">
        <f t="shared" si="2"/>
        <v>38.762878113173372</v>
      </c>
    </row>
    <row r="56" spans="1:20" ht="17" x14ac:dyDescent="0.25">
      <c r="A56" s="2">
        <v>800</v>
      </c>
      <c r="B56" s="1">
        <v>11.5</v>
      </c>
      <c r="C56" s="1">
        <v>13.5</v>
      </c>
      <c r="D56" s="1">
        <v>-0.1</v>
      </c>
      <c r="E56" s="1">
        <v>0.2</v>
      </c>
      <c r="F56" s="1">
        <v>0.1</v>
      </c>
      <c r="G56" s="1">
        <v>2.6</v>
      </c>
      <c r="H56" s="1">
        <v>2.8</v>
      </c>
      <c r="I56" s="1">
        <v>2.7</v>
      </c>
      <c r="J56" s="1" t="s">
        <v>6</v>
      </c>
      <c r="K56" s="1" t="s">
        <v>22</v>
      </c>
      <c r="L56" s="1" t="s">
        <v>8</v>
      </c>
      <c r="M56" s="1" t="s">
        <v>10</v>
      </c>
      <c r="N56" s="3">
        <v>2.6200000000000004E-3</v>
      </c>
      <c r="O56" s="3">
        <v>4.2000000000000007E-4</v>
      </c>
      <c r="P56" s="3">
        <f t="shared" si="0"/>
        <v>2.6200000000000003E-4</v>
      </c>
      <c r="Q56" s="3">
        <f t="shared" si="1"/>
        <v>3.9300000000000007E-4</v>
      </c>
      <c r="R56" s="3" t="s">
        <v>12</v>
      </c>
      <c r="S56" s="3" t="s">
        <v>14</v>
      </c>
      <c r="T56" s="1">
        <f t="shared" si="2"/>
        <v>38.762878113173372</v>
      </c>
    </row>
    <row r="57" spans="1:20" ht="17" x14ac:dyDescent="0.25">
      <c r="A57" s="2">
        <v>800</v>
      </c>
      <c r="B57" s="1">
        <v>11.5</v>
      </c>
      <c r="C57" s="1">
        <v>13.5</v>
      </c>
      <c r="D57" s="1">
        <v>-0.1</v>
      </c>
      <c r="E57" s="1">
        <v>0.2</v>
      </c>
      <c r="F57" s="1">
        <v>0.1</v>
      </c>
      <c r="G57" s="1">
        <v>2.8</v>
      </c>
      <c r="H57" s="1">
        <v>3</v>
      </c>
      <c r="I57" s="1">
        <v>2.9</v>
      </c>
      <c r="J57" s="1" t="s">
        <v>6</v>
      </c>
      <c r="K57" s="1" t="s">
        <v>22</v>
      </c>
      <c r="L57" s="1" t="s">
        <v>8</v>
      </c>
      <c r="M57" s="1" t="s">
        <v>10</v>
      </c>
      <c r="N57" s="3">
        <v>1.65E-3</v>
      </c>
      <c r="O57" s="3">
        <v>3.3E-4</v>
      </c>
      <c r="P57" s="3">
        <f t="shared" si="0"/>
        <v>1.65E-4</v>
      </c>
      <c r="Q57" s="3">
        <f t="shared" si="1"/>
        <v>2.475E-4</v>
      </c>
      <c r="R57" s="3" t="s">
        <v>12</v>
      </c>
      <c r="S57" s="3" t="s">
        <v>14</v>
      </c>
      <c r="T57" s="1">
        <f t="shared" si="2"/>
        <v>38.762878113173372</v>
      </c>
    </row>
    <row r="58" spans="1:20" ht="17" x14ac:dyDescent="0.25">
      <c r="A58" s="2">
        <v>800</v>
      </c>
      <c r="B58" s="1">
        <v>11.5</v>
      </c>
      <c r="C58" s="1">
        <v>13.5</v>
      </c>
      <c r="D58" s="1">
        <v>-0.1</v>
      </c>
      <c r="E58" s="1">
        <v>0.2</v>
      </c>
      <c r="F58" s="1">
        <v>0.1</v>
      </c>
      <c r="G58" s="1">
        <v>3</v>
      </c>
      <c r="H58" s="1">
        <v>3.2</v>
      </c>
      <c r="I58" s="1">
        <v>3.1</v>
      </c>
      <c r="J58" s="1" t="s">
        <v>6</v>
      </c>
      <c r="K58" s="1" t="s">
        <v>22</v>
      </c>
      <c r="L58" s="1" t="s">
        <v>8</v>
      </c>
      <c r="M58" s="1" t="s">
        <v>10</v>
      </c>
      <c r="N58" s="3">
        <v>1.2000000000000001E-3</v>
      </c>
      <c r="O58" s="3">
        <v>2.8000000000000003E-4</v>
      </c>
      <c r="P58" s="3">
        <f t="shared" si="0"/>
        <v>1.2000000000000002E-4</v>
      </c>
      <c r="Q58" s="3">
        <f t="shared" si="1"/>
        <v>1.8000000000000001E-4</v>
      </c>
      <c r="R58" s="3" t="s">
        <v>12</v>
      </c>
      <c r="S58" s="3" t="s">
        <v>14</v>
      </c>
      <c r="T58" s="1">
        <f t="shared" si="2"/>
        <v>38.762878113173372</v>
      </c>
    </row>
    <row r="59" spans="1:20" ht="17" x14ac:dyDescent="0.25">
      <c r="A59" s="2">
        <v>800</v>
      </c>
      <c r="B59" s="1">
        <v>11.5</v>
      </c>
      <c r="C59" s="1">
        <v>13.5</v>
      </c>
      <c r="D59" s="1">
        <v>-0.1</v>
      </c>
      <c r="E59" s="1">
        <v>0.2</v>
      </c>
      <c r="F59" s="1">
        <v>0.1</v>
      </c>
      <c r="G59" s="1">
        <v>3.2</v>
      </c>
      <c r="H59" s="1">
        <v>3.4</v>
      </c>
      <c r="I59" s="1">
        <v>3.3</v>
      </c>
      <c r="J59" s="1" t="s">
        <v>6</v>
      </c>
      <c r="K59" s="1" t="s">
        <v>22</v>
      </c>
      <c r="L59" s="1" t="s">
        <v>8</v>
      </c>
      <c r="M59" s="1" t="s">
        <v>10</v>
      </c>
      <c r="N59" s="3">
        <v>1.1100000000000001E-3</v>
      </c>
      <c r="O59" s="3">
        <v>3.0000000000000003E-4</v>
      </c>
      <c r="P59" s="3">
        <f t="shared" si="0"/>
        <v>1.1100000000000001E-4</v>
      </c>
      <c r="Q59" s="3">
        <f t="shared" si="1"/>
        <v>1.6650000000000001E-4</v>
      </c>
      <c r="R59" s="3" t="s">
        <v>12</v>
      </c>
      <c r="S59" s="3" t="s">
        <v>14</v>
      </c>
      <c r="T59" s="1">
        <f t="shared" si="2"/>
        <v>38.762878113173372</v>
      </c>
    </row>
    <row r="60" spans="1:20" ht="17" x14ac:dyDescent="0.25">
      <c r="A60" s="2">
        <v>800</v>
      </c>
      <c r="B60" s="1">
        <v>11.5</v>
      </c>
      <c r="C60" s="1">
        <v>13.5</v>
      </c>
      <c r="D60" s="1">
        <v>-0.1</v>
      </c>
      <c r="E60" s="1">
        <v>0.2</v>
      </c>
      <c r="F60" s="1">
        <v>0.1</v>
      </c>
      <c r="G60" s="1">
        <v>3.4</v>
      </c>
      <c r="H60" s="1">
        <v>3.6</v>
      </c>
      <c r="I60" s="1">
        <v>3.5</v>
      </c>
      <c r="J60" s="1" t="s">
        <v>6</v>
      </c>
      <c r="K60" s="1" t="s">
        <v>22</v>
      </c>
      <c r="L60" s="1" t="s">
        <v>8</v>
      </c>
      <c r="M60" s="1" t="s">
        <v>10</v>
      </c>
      <c r="N60" s="3">
        <v>6.5400000000000007E-4</v>
      </c>
      <c r="O60" s="3">
        <v>2.4300000000000002E-4</v>
      </c>
      <c r="P60" s="3">
        <f t="shared" si="0"/>
        <v>6.5400000000000004E-5</v>
      </c>
      <c r="Q60" s="3">
        <f t="shared" si="1"/>
        <v>9.8100000000000013E-5</v>
      </c>
      <c r="R60" s="3" t="s">
        <v>12</v>
      </c>
      <c r="S60" s="3" t="s">
        <v>14</v>
      </c>
      <c r="T60" s="1">
        <f t="shared" si="2"/>
        <v>38.762878113173372</v>
      </c>
    </row>
    <row r="61" spans="1:20" ht="17" x14ac:dyDescent="0.25">
      <c r="A61" s="2">
        <v>800</v>
      </c>
      <c r="B61" s="1">
        <v>13.5</v>
      </c>
      <c r="C61" s="1">
        <v>18</v>
      </c>
      <c r="D61" s="1">
        <v>-0.1</v>
      </c>
      <c r="E61" s="1">
        <v>0.2</v>
      </c>
      <c r="F61" s="1">
        <v>0.1</v>
      </c>
      <c r="G61" s="1">
        <v>0</v>
      </c>
      <c r="H61" s="1">
        <v>0.2</v>
      </c>
      <c r="I61" s="1">
        <v>0.1</v>
      </c>
      <c r="J61" s="1" t="s">
        <v>6</v>
      </c>
      <c r="K61" s="1" t="s">
        <v>22</v>
      </c>
      <c r="L61" s="1" t="s">
        <v>8</v>
      </c>
      <c r="M61" s="1" t="s">
        <v>10</v>
      </c>
      <c r="N61" s="3">
        <v>2.4000000000000004E-2</v>
      </c>
      <c r="O61" s="3">
        <v>5.5000000000000005E-3</v>
      </c>
      <c r="P61" s="3">
        <f t="shared" si="0"/>
        <v>2.4000000000000007E-3</v>
      </c>
      <c r="Q61" s="3">
        <f t="shared" si="1"/>
        <v>3.6000000000000003E-3</v>
      </c>
      <c r="R61" s="3" t="s">
        <v>12</v>
      </c>
      <c r="S61" s="3" t="s">
        <v>14</v>
      </c>
      <c r="T61" s="1">
        <f t="shared" si="2"/>
        <v>38.762878113173372</v>
      </c>
    </row>
    <row r="62" spans="1:20" ht="17" x14ac:dyDescent="0.25">
      <c r="A62" s="2">
        <v>800</v>
      </c>
      <c r="B62" s="1">
        <v>13.5</v>
      </c>
      <c r="C62" s="1">
        <v>18</v>
      </c>
      <c r="D62" s="1">
        <v>-0.1</v>
      </c>
      <c r="E62" s="1">
        <v>0.2</v>
      </c>
      <c r="F62" s="1">
        <v>0.1</v>
      </c>
      <c r="G62" s="1">
        <v>0.2</v>
      </c>
      <c r="H62" s="1">
        <v>0.4</v>
      </c>
      <c r="I62" s="1">
        <v>0.3</v>
      </c>
      <c r="J62" s="1" t="s">
        <v>6</v>
      </c>
      <c r="K62" s="1" t="s">
        <v>22</v>
      </c>
      <c r="L62" s="1" t="s">
        <v>8</v>
      </c>
      <c r="M62" s="1" t="s">
        <v>10</v>
      </c>
      <c r="N62" s="3">
        <v>2.06E-2</v>
      </c>
      <c r="O62" s="3">
        <v>2.8999999999999998E-3</v>
      </c>
      <c r="P62" s="3">
        <f t="shared" si="0"/>
        <v>2.0600000000000002E-3</v>
      </c>
      <c r="Q62" s="3">
        <f t="shared" si="1"/>
        <v>3.0899999999999999E-3</v>
      </c>
      <c r="R62" s="3" t="s">
        <v>12</v>
      </c>
      <c r="S62" s="3" t="s">
        <v>14</v>
      </c>
      <c r="T62" s="1">
        <f t="shared" si="2"/>
        <v>38.762878113173372</v>
      </c>
    </row>
    <row r="63" spans="1:20" ht="17" x14ac:dyDescent="0.25">
      <c r="A63" s="2">
        <v>800</v>
      </c>
      <c r="B63" s="1">
        <v>13.5</v>
      </c>
      <c r="C63" s="1">
        <v>18</v>
      </c>
      <c r="D63" s="1">
        <v>-0.1</v>
      </c>
      <c r="E63" s="1">
        <v>0.2</v>
      </c>
      <c r="F63" s="1">
        <v>0.1</v>
      </c>
      <c r="G63" s="1">
        <v>0.4</v>
      </c>
      <c r="H63" s="1">
        <v>0.6</v>
      </c>
      <c r="I63" s="1">
        <v>0.5</v>
      </c>
      <c r="J63" s="1" t="s">
        <v>6</v>
      </c>
      <c r="K63" s="1" t="s">
        <v>22</v>
      </c>
      <c r="L63" s="1" t="s">
        <v>8</v>
      </c>
      <c r="M63" s="1" t="s">
        <v>10</v>
      </c>
      <c r="N63" s="3">
        <v>1.8800000000000001E-2</v>
      </c>
      <c r="O63" s="3">
        <v>2.0999999999999999E-3</v>
      </c>
      <c r="P63" s="3">
        <f t="shared" si="0"/>
        <v>1.8800000000000002E-3</v>
      </c>
      <c r="Q63" s="3">
        <f t="shared" si="1"/>
        <v>2.82E-3</v>
      </c>
      <c r="R63" s="3" t="s">
        <v>12</v>
      </c>
      <c r="S63" s="3" t="s">
        <v>14</v>
      </c>
      <c r="T63" s="1">
        <f t="shared" si="2"/>
        <v>38.762878113173372</v>
      </c>
    </row>
    <row r="64" spans="1:20" ht="17" x14ac:dyDescent="0.25">
      <c r="A64" s="2">
        <v>800</v>
      </c>
      <c r="B64" s="1">
        <v>13.5</v>
      </c>
      <c r="C64" s="1">
        <v>18</v>
      </c>
      <c r="D64" s="1">
        <v>-0.1</v>
      </c>
      <c r="E64" s="1">
        <v>0.2</v>
      </c>
      <c r="F64" s="1">
        <v>0.1</v>
      </c>
      <c r="G64" s="1">
        <v>0.6</v>
      </c>
      <c r="H64" s="1">
        <v>0.8</v>
      </c>
      <c r="I64" s="1">
        <v>0.7</v>
      </c>
      <c r="J64" s="1" t="s">
        <v>6</v>
      </c>
      <c r="K64" s="1" t="s">
        <v>22</v>
      </c>
      <c r="L64" s="1" t="s">
        <v>8</v>
      </c>
      <c r="M64" s="1" t="s">
        <v>10</v>
      </c>
      <c r="N64" s="3">
        <v>1.7100000000000001E-2</v>
      </c>
      <c r="O64" s="3">
        <v>1.7000000000000001E-3</v>
      </c>
      <c r="P64" s="3">
        <f t="shared" si="0"/>
        <v>1.7100000000000001E-3</v>
      </c>
      <c r="Q64" s="3">
        <f t="shared" si="1"/>
        <v>2.565E-3</v>
      </c>
      <c r="R64" s="3" t="s">
        <v>12</v>
      </c>
      <c r="S64" s="3" t="s">
        <v>14</v>
      </c>
      <c r="T64" s="1">
        <f t="shared" si="2"/>
        <v>38.762878113173372</v>
      </c>
    </row>
    <row r="65" spans="1:20" ht="17" x14ac:dyDescent="0.25">
      <c r="A65" s="2">
        <v>800</v>
      </c>
      <c r="B65" s="1">
        <v>13.5</v>
      </c>
      <c r="C65" s="1">
        <v>18</v>
      </c>
      <c r="D65" s="1">
        <v>-0.1</v>
      </c>
      <c r="E65" s="1">
        <v>0.2</v>
      </c>
      <c r="F65" s="1">
        <v>0.1</v>
      </c>
      <c r="G65" s="1">
        <v>0.8</v>
      </c>
      <c r="H65" s="1">
        <v>1</v>
      </c>
      <c r="I65" s="1">
        <v>0.9</v>
      </c>
      <c r="J65" s="1" t="s">
        <v>6</v>
      </c>
      <c r="K65" s="1" t="s">
        <v>22</v>
      </c>
      <c r="L65" s="1" t="s">
        <v>8</v>
      </c>
      <c r="M65" s="1" t="s">
        <v>10</v>
      </c>
      <c r="N65" s="3">
        <v>9.7300000000000008E-3</v>
      </c>
      <c r="O65" s="3">
        <v>1.16E-3</v>
      </c>
      <c r="P65" s="3">
        <f t="shared" si="0"/>
        <v>9.7300000000000012E-4</v>
      </c>
      <c r="Q65" s="3">
        <f t="shared" si="1"/>
        <v>1.4595000000000001E-3</v>
      </c>
      <c r="R65" s="3" t="s">
        <v>12</v>
      </c>
      <c r="S65" s="3" t="s">
        <v>14</v>
      </c>
      <c r="T65" s="1">
        <f t="shared" si="2"/>
        <v>38.762878113173372</v>
      </c>
    </row>
    <row r="66" spans="1:20" ht="17" x14ac:dyDescent="0.25">
      <c r="A66" s="2">
        <v>800</v>
      </c>
      <c r="B66" s="1">
        <v>13.5</v>
      </c>
      <c r="C66" s="1">
        <v>18</v>
      </c>
      <c r="D66" s="1">
        <v>-0.1</v>
      </c>
      <c r="E66" s="1">
        <v>0.2</v>
      </c>
      <c r="F66" s="1">
        <v>0.1</v>
      </c>
      <c r="G66" s="1">
        <v>1</v>
      </c>
      <c r="H66" s="1">
        <v>1.2</v>
      </c>
      <c r="I66" s="1">
        <v>1.1000000000000001</v>
      </c>
      <c r="J66" s="1" t="s">
        <v>6</v>
      </c>
      <c r="K66" s="1" t="s">
        <v>22</v>
      </c>
      <c r="L66" s="1" t="s">
        <v>8</v>
      </c>
      <c r="M66" s="1" t="s">
        <v>10</v>
      </c>
      <c r="N66" s="3">
        <v>1.0699999999999999E-2</v>
      </c>
      <c r="O66" s="3">
        <v>1.1000000000000001E-3</v>
      </c>
      <c r="P66" s="3">
        <f t="shared" si="0"/>
        <v>1.07E-3</v>
      </c>
      <c r="Q66" s="3">
        <f t="shared" si="1"/>
        <v>1.6049999999999999E-3</v>
      </c>
      <c r="R66" s="3" t="s">
        <v>12</v>
      </c>
      <c r="S66" s="3" t="s">
        <v>14</v>
      </c>
      <c r="T66" s="1">
        <f t="shared" si="2"/>
        <v>38.762878113173372</v>
      </c>
    </row>
    <row r="67" spans="1:20" ht="17" x14ac:dyDescent="0.25">
      <c r="A67" s="2">
        <v>800</v>
      </c>
      <c r="B67" s="1">
        <v>13.5</v>
      </c>
      <c r="C67" s="1">
        <v>18</v>
      </c>
      <c r="D67" s="1">
        <v>-0.1</v>
      </c>
      <c r="E67" s="1">
        <v>0.2</v>
      </c>
      <c r="F67" s="1">
        <v>0.1</v>
      </c>
      <c r="G67" s="1">
        <v>1.2</v>
      </c>
      <c r="H67" s="1">
        <v>1.4</v>
      </c>
      <c r="I67" s="1">
        <v>1.3</v>
      </c>
      <c r="J67" s="1" t="s">
        <v>6</v>
      </c>
      <c r="K67" s="1" t="s">
        <v>22</v>
      </c>
      <c r="L67" s="1" t="s">
        <v>8</v>
      </c>
      <c r="M67" s="1" t="s">
        <v>10</v>
      </c>
      <c r="N67" s="3">
        <v>7.9100000000000004E-3</v>
      </c>
      <c r="O67" s="3">
        <v>8.8000000000000003E-4</v>
      </c>
      <c r="P67" s="3">
        <f t="shared" ref="P67:P75" si="3">0.1*N67</f>
        <v>7.9100000000000004E-4</v>
      </c>
      <c r="Q67" s="3">
        <f t="shared" ref="Q67:Q75" si="4">0.15*N67</f>
        <v>1.1865000000000001E-3</v>
      </c>
      <c r="R67" s="3" t="s">
        <v>12</v>
      </c>
      <c r="S67" s="3" t="s">
        <v>14</v>
      </c>
      <c r="T67" s="1">
        <f t="shared" ref="T67:T75" si="5">SQRT(2*0.938^2+2*0.938*SQRT(0.938^2+A67^2))</f>
        <v>38.762878113173372</v>
      </c>
    </row>
    <row r="68" spans="1:20" ht="17" x14ac:dyDescent="0.25">
      <c r="A68" s="2">
        <v>800</v>
      </c>
      <c r="B68" s="1">
        <v>13.5</v>
      </c>
      <c r="C68" s="1">
        <v>18</v>
      </c>
      <c r="D68" s="1">
        <v>-0.1</v>
      </c>
      <c r="E68" s="1">
        <v>0.2</v>
      </c>
      <c r="F68" s="1">
        <v>0.1</v>
      </c>
      <c r="G68" s="1">
        <v>1.4</v>
      </c>
      <c r="H68" s="1">
        <v>1.6</v>
      </c>
      <c r="I68" s="1">
        <v>1.5</v>
      </c>
      <c r="J68" s="1" t="s">
        <v>6</v>
      </c>
      <c r="K68" s="1" t="s">
        <v>22</v>
      </c>
      <c r="L68" s="1" t="s">
        <v>8</v>
      </c>
      <c r="M68" s="1" t="s">
        <v>10</v>
      </c>
      <c r="N68" s="3">
        <v>6.0500000000000007E-3</v>
      </c>
      <c r="O68" s="3">
        <v>7.000000000000001E-4</v>
      </c>
      <c r="P68" s="3">
        <f t="shared" si="3"/>
        <v>6.0500000000000007E-4</v>
      </c>
      <c r="Q68" s="3">
        <f t="shared" si="4"/>
        <v>9.075000000000001E-4</v>
      </c>
      <c r="R68" s="3" t="s">
        <v>12</v>
      </c>
      <c r="S68" s="3" t="s">
        <v>14</v>
      </c>
      <c r="T68" s="1">
        <f t="shared" si="5"/>
        <v>38.762878113173372</v>
      </c>
    </row>
    <row r="69" spans="1:20" ht="17" x14ac:dyDescent="0.25">
      <c r="A69" s="2">
        <v>800</v>
      </c>
      <c r="B69" s="1">
        <v>13.5</v>
      </c>
      <c r="C69" s="1">
        <v>18</v>
      </c>
      <c r="D69" s="1">
        <v>-0.1</v>
      </c>
      <c r="E69" s="1">
        <v>0.2</v>
      </c>
      <c r="F69" s="1">
        <v>0.1</v>
      </c>
      <c r="G69" s="1">
        <v>1.6</v>
      </c>
      <c r="H69" s="1">
        <v>1.8</v>
      </c>
      <c r="I69" s="1">
        <v>1.7</v>
      </c>
      <c r="J69" s="1" t="s">
        <v>6</v>
      </c>
      <c r="K69" s="1" t="s">
        <v>22</v>
      </c>
      <c r="L69" s="1" t="s">
        <v>8</v>
      </c>
      <c r="M69" s="1" t="s">
        <v>10</v>
      </c>
      <c r="N69" s="3">
        <v>3.5000000000000001E-3</v>
      </c>
      <c r="O69" s="3">
        <v>5.1000000000000004E-4</v>
      </c>
      <c r="P69" s="3">
        <f t="shared" si="3"/>
        <v>3.5000000000000005E-4</v>
      </c>
      <c r="Q69" s="3">
        <f t="shared" si="4"/>
        <v>5.2499999999999997E-4</v>
      </c>
      <c r="R69" s="3" t="s">
        <v>12</v>
      </c>
      <c r="S69" s="3" t="s">
        <v>14</v>
      </c>
      <c r="T69" s="1">
        <f t="shared" si="5"/>
        <v>38.762878113173372</v>
      </c>
    </row>
    <row r="70" spans="1:20" ht="17" x14ac:dyDescent="0.25">
      <c r="A70" s="2">
        <v>800</v>
      </c>
      <c r="B70" s="1">
        <v>13.5</v>
      </c>
      <c r="C70" s="1">
        <v>18</v>
      </c>
      <c r="D70" s="1">
        <v>-0.1</v>
      </c>
      <c r="E70" s="1">
        <v>0.2</v>
      </c>
      <c r="F70" s="1">
        <v>0.1</v>
      </c>
      <c r="G70" s="1">
        <v>1.8</v>
      </c>
      <c r="H70" s="1">
        <v>2</v>
      </c>
      <c r="I70" s="1">
        <v>1.9</v>
      </c>
      <c r="J70" s="1" t="s">
        <v>6</v>
      </c>
      <c r="K70" s="1" t="s">
        <v>22</v>
      </c>
      <c r="L70" s="1" t="s">
        <v>8</v>
      </c>
      <c r="M70" s="1" t="s">
        <v>10</v>
      </c>
      <c r="N70" s="3">
        <v>1.9400000000000001E-3</v>
      </c>
      <c r="O70" s="3">
        <v>3.6000000000000002E-4</v>
      </c>
      <c r="P70" s="3">
        <f t="shared" si="3"/>
        <v>1.9400000000000003E-4</v>
      </c>
      <c r="Q70" s="3">
        <f t="shared" si="4"/>
        <v>2.9100000000000003E-4</v>
      </c>
      <c r="R70" s="3" t="s">
        <v>12</v>
      </c>
      <c r="S70" s="3" t="s">
        <v>14</v>
      </c>
      <c r="T70" s="1">
        <f t="shared" si="5"/>
        <v>38.762878113173372</v>
      </c>
    </row>
    <row r="71" spans="1:20" ht="17" x14ac:dyDescent="0.25">
      <c r="A71" s="2">
        <v>800</v>
      </c>
      <c r="B71" s="1">
        <v>13.5</v>
      </c>
      <c r="C71" s="1">
        <v>18</v>
      </c>
      <c r="D71" s="1">
        <v>-0.1</v>
      </c>
      <c r="E71" s="1">
        <v>0.2</v>
      </c>
      <c r="F71" s="1">
        <v>0.1</v>
      </c>
      <c r="G71" s="1">
        <v>2</v>
      </c>
      <c r="H71" s="1">
        <v>2.2000000000000002</v>
      </c>
      <c r="I71" s="1">
        <v>2.1</v>
      </c>
      <c r="J71" s="1" t="s">
        <v>6</v>
      </c>
      <c r="K71" s="1" t="s">
        <v>22</v>
      </c>
      <c r="L71" s="1" t="s">
        <v>8</v>
      </c>
      <c r="M71" s="1" t="s">
        <v>10</v>
      </c>
      <c r="N71" s="3">
        <v>2E-3</v>
      </c>
      <c r="O71" s="3">
        <v>3.6999999999999999E-4</v>
      </c>
      <c r="P71" s="3">
        <f t="shared" si="3"/>
        <v>2.0000000000000001E-4</v>
      </c>
      <c r="Q71" s="3">
        <f t="shared" si="4"/>
        <v>2.9999999999999997E-4</v>
      </c>
      <c r="R71" s="3" t="s">
        <v>12</v>
      </c>
      <c r="S71" s="3" t="s">
        <v>14</v>
      </c>
      <c r="T71" s="1">
        <f t="shared" si="5"/>
        <v>38.762878113173372</v>
      </c>
    </row>
    <row r="72" spans="1:20" ht="17" x14ac:dyDescent="0.25">
      <c r="A72" s="2">
        <v>800</v>
      </c>
      <c r="B72" s="1">
        <v>13.5</v>
      </c>
      <c r="C72" s="1">
        <v>18</v>
      </c>
      <c r="D72" s="1">
        <v>-0.1</v>
      </c>
      <c r="E72" s="1">
        <v>0.2</v>
      </c>
      <c r="F72" s="1">
        <v>0.1</v>
      </c>
      <c r="G72" s="1">
        <v>2.2000000000000002</v>
      </c>
      <c r="H72" s="1">
        <v>2.4</v>
      </c>
      <c r="I72" s="1">
        <v>2.2999999999999998</v>
      </c>
      <c r="J72" s="1" t="s">
        <v>6</v>
      </c>
      <c r="K72" s="1" t="s">
        <v>22</v>
      </c>
      <c r="L72" s="1" t="s">
        <v>8</v>
      </c>
      <c r="M72" s="1" t="s">
        <v>10</v>
      </c>
      <c r="N72" s="3">
        <v>1.3600000000000001E-3</v>
      </c>
      <c r="O72" s="3">
        <v>2.9E-4</v>
      </c>
      <c r="P72" s="3">
        <f t="shared" si="3"/>
        <v>1.3600000000000003E-4</v>
      </c>
      <c r="Q72" s="3">
        <f t="shared" si="4"/>
        <v>2.04E-4</v>
      </c>
      <c r="R72" s="3" t="s">
        <v>12</v>
      </c>
      <c r="S72" s="3" t="s">
        <v>14</v>
      </c>
      <c r="T72" s="1">
        <f t="shared" si="5"/>
        <v>38.762878113173372</v>
      </c>
    </row>
    <row r="73" spans="1:20" ht="17" x14ac:dyDescent="0.25">
      <c r="A73" s="2">
        <v>800</v>
      </c>
      <c r="B73" s="1">
        <v>13.5</v>
      </c>
      <c r="C73" s="1">
        <v>18</v>
      </c>
      <c r="D73" s="1">
        <v>-0.1</v>
      </c>
      <c r="E73" s="1">
        <v>0.2</v>
      </c>
      <c r="F73" s="1">
        <v>0.1</v>
      </c>
      <c r="G73" s="1">
        <v>2.4</v>
      </c>
      <c r="H73" s="1">
        <v>2.6</v>
      </c>
      <c r="I73" s="1">
        <v>2.5</v>
      </c>
      <c r="J73" s="1" t="s">
        <v>6</v>
      </c>
      <c r="K73" s="1" t="s">
        <v>22</v>
      </c>
      <c r="L73" s="1" t="s">
        <v>8</v>
      </c>
      <c r="M73" s="1" t="s">
        <v>10</v>
      </c>
      <c r="N73" s="3">
        <v>1.3600000000000001E-3</v>
      </c>
      <c r="O73" s="3">
        <v>2.9E-4</v>
      </c>
      <c r="P73" s="3">
        <f t="shared" si="3"/>
        <v>1.3600000000000003E-4</v>
      </c>
      <c r="Q73" s="3">
        <f t="shared" si="4"/>
        <v>2.04E-4</v>
      </c>
      <c r="R73" s="3" t="s">
        <v>12</v>
      </c>
      <c r="S73" s="3" t="s">
        <v>14</v>
      </c>
      <c r="T73" s="1">
        <f t="shared" si="5"/>
        <v>38.762878113173372</v>
      </c>
    </row>
    <row r="74" spans="1:20" ht="17" x14ac:dyDescent="0.25">
      <c r="A74" s="2">
        <v>800</v>
      </c>
      <c r="B74" s="1">
        <v>13.5</v>
      </c>
      <c r="C74" s="1">
        <v>18</v>
      </c>
      <c r="D74" s="1">
        <v>-0.1</v>
      </c>
      <c r="E74" s="1">
        <v>0.2</v>
      </c>
      <c r="F74" s="1">
        <v>0.1</v>
      </c>
      <c r="G74" s="1">
        <v>2.6</v>
      </c>
      <c r="H74" s="1">
        <v>2.8</v>
      </c>
      <c r="I74" s="1">
        <v>2.7</v>
      </c>
      <c r="J74" s="1" t="s">
        <v>6</v>
      </c>
      <c r="K74" s="1" t="s">
        <v>22</v>
      </c>
      <c r="L74" s="1" t="s">
        <v>8</v>
      </c>
      <c r="M74" s="1" t="s">
        <v>10</v>
      </c>
      <c r="N74" s="3">
        <v>6.0000000000000006E-4</v>
      </c>
      <c r="O74" s="3">
        <v>1.9099999999999998E-4</v>
      </c>
      <c r="P74" s="3">
        <f t="shared" si="3"/>
        <v>6.0000000000000008E-5</v>
      </c>
      <c r="Q74" s="3">
        <f t="shared" si="4"/>
        <v>9.0000000000000006E-5</v>
      </c>
      <c r="R74" s="3" t="s">
        <v>12</v>
      </c>
      <c r="S74" s="3" t="s">
        <v>14</v>
      </c>
      <c r="T74" s="1">
        <f t="shared" si="5"/>
        <v>38.762878113173372</v>
      </c>
    </row>
    <row r="75" spans="1:20" ht="17" x14ac:dyDescent="0.25">
      <c r="A75" s="2">
        <v>800</v>
      </c>
      <c r="B75" s="1">
        <v>13.5</v>
      </c>
      <c r="C75" s="1">
        <v>18</v>
      </c>
      <c r="D75" s="1">
        <v>-0.1</v>
      </c>
      <c r="E75" s="1">
        <v>0.2</v>
      </c>
      <c r="F75" s="1">
        <v>0.1</v>
      </c>
      <c r="G75" s="1">
        <v>2.8</v>
      </c>
      <c r="H75" s="1">
        <v>3</v>
      </c>
      <c r="I75" s="1">
        <v>2.9</v>
      </c>
      <c r="J75" s="1" t="s">
        <v>6</v>
      </c>
      <c r="K75" s="1" t="s">
        <v>22</v>
      </c>
      <c r="L75" s="1" t="s">
        <v>8</v>
      </c>
      <c r="M75" s="1" t="s">
        <v>10</v>
      </c>
      <c r="N75" s="3">
        <v>4.35E-4</v>
      </c>
      <c r="O75" s="3">
        <v>1.6600000000000002E-4</v>
      </c>
      <c r="P75" s="3">
        <f t="shared" si="3"/>
        <v>4.35E-5</v>
      </c>
      <c r="Q75" s="3">
        <f t="shared" si="4"/>
        <v>6.525E-5</v>
      </c>
      <c r="R75" s="3" t="s">
        <v>12</v>
      </c>
      <c r="S75" s="3" t="s">
        <v>14</v>
      </c>
      <c r="T75" s="1">
        <f t="shared" si="5"/>
        <v>38.762878113173372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Barry</dc:creator>
  <cp:lastModifiedBy>Barry, Patrick</cp:lastModifiedBy>
  <dcterms:created xsi:type="dcterms:W3CDTF">2020-07-27T21:40:36Z</dcterms:created>
  <dcterms:modified xsi:type="dcterms:W3CDTF">2025-03-05T17:54:24Z</dcterms:modified>
</cp:coreProperties>
</file>